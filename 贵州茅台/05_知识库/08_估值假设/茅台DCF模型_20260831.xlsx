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与WACC" sheetId="1" state="visible" r:id="rId1"/>
    <sheet xmlns:r="http://schemas.openxmlformats.org/officeDocument/2006/relationships" name="DCF模型" sheetId="2" state="visible" r:id="rId2"/>
    <sheet xmlns:r="http://schemas.openxmlformats.org/officeDocument/2006/relationships" name="敏感性" sheetId="3" state="visible" r:id="rId3"/>
    <sheet xmlns:r="http://schemas.openxmlformats.org/officeDocument/2006/relationships" name="数据底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0.0"/>
    <numFmt numFmtId="167" formatCode="0.0%"/>
    <numFmt numFmtId="168" formatCode="相关系数仅0.075，不可靠，弃用"/>
    <numFmt numFmtId="169" formatCode="利润总额1147.55亿，所得税294.45亿"/>
  </numFmts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1F3864"/>
      <sz val="11"/>
    </font>
    <font>
      <name val="微软雅黑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9E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3" borderId="1" pivotButton="0" quotePrefix="0" xfId="0"/>
    <xf numFmtId="3" fontId="4" fillId="4" borderId="1" pivotButton="0" quotePrefix="0" xfId="0"/>
    <xf numFmtId="4" fontId="4" fillId="4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5" fontId="4" fillId="4" borderId="1" pivotButton="0" quotePrefix="0" xfId="0"/>
    <xf numFmtId="2" fontId="4" fillId="4" borderId="1" pivotButton="0" quotePrefix="0" xfId="0"/>
    <xf numFmtId="166" fontId="4" fillId="3" borderId="1" pivotButton="0" quotePrefix="0" xfId="0"/>
    <xf numFmtId="0" fontId="5" fillId="5" borderId="1" pivotButton="0" quotePrefix="0" xfId="0"/>
    <xf numFmtId="10" fontId="4" fillId="3" borderId="1" pivotButton="0" quotePrefix="0" xfId="0"/>
    <xf numFmtId="4" fontId="4" fillId="6" borderId="1" pivotButton="0" quotePrefix="0" xfId="0"/>
    <xf numFmtId="10" fontId="4" fillId="4" borderId="1" pivotButton="0" quotePrefix="0" xfId="0"/>
    <xf numFmtId="4" fontId="4" fillId="0" borderId="0" pivotButton="0" quotePrefix="0" xfId="0"/>
    <xf numFmtId="164" fontId="4" fillId="0" borderId="0" pivotButton="0" quotePrefix="0" xfId="0"/>
    <xf numFmtId="10" fontId="4" fillId="6" borderId="1" pivotButton="0" quotePrefix="0" xfId="0"/>
    <xf numFmtId="167" fontId="5" fillId="5" borderId="1" pivotButton="0" quotePrefix="0" xfId="0"/>
    <xf numFmtId="167" fontId="4" fillId="3" borderId="1" pivotButton="0" quotePrefix="0" xfId="0"/>
    <xf numFmtId="0" fontId="4" fillId="0" borderId="1" pivotButton="0" quotePrefix="0" xfId="0"/>
    <xf numFmtId="4" fontId="4" fillId="0" borderId="1" pivotButton="0" quotePrefix="0" xfId="0"/>
    <xf numFmtId="167" fontId="4" fillId="0" borderId="1" pivotButton="0" quotePrefix="0" xfId="0"/>
    <xf numFmtId="168" fontId="4" fillId="4" borderId="1" pivotButton="0" quotePrefix="0" xfId="0"/>
    <xf numFmtId="0" fontId="4" fillId="4" borderId="1" pivotButton="0" quotePrefix="0" xfId="0"/>
    <xf numFmtId="169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52" customWidth="1" min="5" max="5"/>
  </cols>
  <sheetData>
    <row r="1">
      <c r="A1" s="1" t="inlineStr">
        <is>
          <t>贵州茅台（600519.SH）DCF 模型 — 假设与 WACC</t>
        </is>
      </c>
    </row>
    <row r="2">
      <c r="A2" s="2" t="inlineStr">
        <is>
          <t>估值日期 2026-08-31 ｜ Rf=中债10年期国债收益率（用户指定）｜ 黄色单元格=可修改输入</t>
        </is>
      </c>
    </row>
    <row r="4">
      <c r="A4" s="3" t="inlineStr">
        <is>
          <t>一、市场与股本数据</t>
        </is>
      </c>
    </row>
    <row r="5">
      <c r="A5" s="4" t="inlineStr">
        <is>
          <t>现价（元，2026-08-31收盘）</t>
        </is>
      </c>
      <c r="B5" s="5" t="n">
        <v>1299.52</v>
      </c>
      <c r="E5" s="2" t="inlineStr">
        <is>
          <t>腾讯行情</t>
        </is>
      </c>
    </row>
    <row r="6">
      <c r="A6" s="4" t="inlineStr">
        <is>
          <t>总股本（亿股，2026H1末）</t>
        </is>
      </c>
      <c r="B6" s="5" t="n">
        <v>12.5</v>
      </c>
      <c r="E6" s="2" t="inlineStr">
        <is>
          <t>2026中报；回购注销后由12.5227亿下降</t>
        </is>
      </c>
    </row>
    <row r="7">
      <c r="A7" s="4" t="inlineStr">
        <is>
          <t>总市值（亿元）</t>
        </is>
      </c>
      <c r="B7" s="6">
        <f>B5*B6</f>
        <v/>
      </c>
      <c r="E7" s="2" t="inlineStr">
        <is>
          <t>计算：现价×股本</t>
        </is>
      </c>
    </row>
    <row r="8">
      <c r="A8" s="4" t="inlineStr">
        <is>
          <t>PE(TTM)</t>
        </is>
      </c>
      <c r="B8" s="7">
        <f>B7/814.34</f>
        <v/>
      </c>
      <c r="E8" s="2" t="inlineStr">
        <is>
          <t>TTM归母净利814.34亿；与行情19.95核对一致</t>
        </is>
      </c>
    </row>
    <row r="9">
      <c r="A9" s="4" t="inlineStr">
        <is>
          <t>PB(MRQ)</t>
        </is>
      </c>
      <c r="B9" s="5" t="n">
        <v>6.47</v>
      </c>
      <c r="E9" s="2" t="inlineStr">
        <is>
          <t>腾讯行情</t>
        </is>
      </c>
    </row>
    <row r="11">
      <c r="A11" s="3" t="inlineStr">
        <is>
          <t>二、WACC 计算（CAPM）</t>
        </is>
      </c>
    </row>
    <row r="12">
      <c r="A12" s="4" t="inlineStr">
        <is>
          <t>无风险利率 Rf（中债10Y，%）</t>
        </is>
      </c>
      <c r="B12" s="8" t="n">
        <v>1.6883</v>
      </c>
      <c r="E12" s="2" t="inlineStr">
        <is>
          <t>akshare bond_zh_us_rate，2026-08-31</t>
        </is>
      </c>
    </row>
    <row r="13">
      <c r="A13" s="4" t="inlineStr">
        <is>
          <t>β 原始值（vs 上证指数）</t>
        </is>
      </c>
      <c r="B13" s="9" t="n">
        <v>0.665</v>
      </c>
      <c r="E13" s="2" t="inlineStr">
        <is>
          <t>新浪日线2年日收益回归（3年0.667/2年0.665/1年0.115不可靠）</t>
        </is>
      </c>
    </row>
    <row r="14">
      <c r="A14" s="4" t="inlineStr">
        <is>
          <t>β Blume调整 = 2/3×β+1/3</t>
        </is>
      </c>
      <c r="B14" s="10">
        <f>2/3*B13+1/3</f>
        <v/>
      </c>
      <c r="E14" s="2" t="inlineStr">
        <is>
          <t>向1回归的标准调整</t>
        </is>
      </c>
    </row>
    <row r="15">
      <c r="A15" s="4" t="inlineStr">
        <is>
          <t>有息负债 D（亿元）</t>
        </is>
      </c>
      <c r="B15" s="5" t="n">
        <v>0</v>
      </c>
      <c r="E15" s="2" t="inlineStr">
        <is>
          <t>茅台无有息负债（负债均为经营性），故 WACC 即 Ke</t>
        </is>
      </c>
    </row>
    <row r="16">
      <c r="A16" t="inlineStr">
        <is>
          <t>WACC（%）</t>
        </is>
      </c>
      <c r="B16" s="11">
        <f>B14*B17+$B$12</f>
        <v/>
      </c>
      <c r="C16" s="11">
        <f>B14*C17+$B$12</f>
        <v/>
      </c>
      <c r="D16" s="11">
        <f>B14*D17+$B$12</f>
        <v/>
      </c>
      <c r="E16" s="2" t="inlineStr">
        <is>
          <t>公式：Rf + β×ERP（D为0）</t>
        </is>
      </c>
    </row>
    <row r="17">
      <c r="A17" t="inlineStr">
        <is>
          <t>ERP（股权风险溢价，%）</t>
        </is>
      </c>
      <c r="B17" s="12" t="n">
        <v>9</v>
      </c>
      <c r="C17" s="12" t="n">
        <v>7.5</v>
      </c>
      <c r="D17" s="12" t="n">
        <v>6.5</v>
      </c>
      <c r="E17" s="2" t="inlineStr">
        <is>
          <t>A股ERP取6-8%区间：悲观9.0/中性7.5/乐观6.5</t>
        </is>
      </c>
    </row>
    <row r="18">
      <c r="A18" s="3" t="inlineStr">
        <is>
          <t>三、三情景 DCF 假设</t>
        </is>
      </c>
    </row>
    <row r="19">
      <c r="A19" s="13" t="inlineStr">
        <is>
          <t>参数</t>
        </is>
      </c>
      <c r="B19" s="13" t="inlineStr">
        <is>
          <t>悲观</t>
        </is>
      </c>
      <c r="C19" s="13" t="inlineStr">
        <is>
          <t>中性</t>
        </is>
      </c>
      <c r="D19" s="13" t="inlineStr">
        <is>
          <t>乐观</t>
        </is>
      </c>
      <c r="E19" s="13" t="inlineStr">
        <is>
          <t>备注</t>
        </is>
      </c>
    </row>
    <row r="20">
      <c r="A20" s="4" t="inlineStr">
        <is>
          <t>2026E 归母净利（亿元）</t>
        </is>
      </c>
      <c r="B20" s="5" t="n">
        <v>790</v>
      </c>
      <c r="C20" s="5" t="n">
        <v>820</v>
      </c>
      <c r="D20" s="5" t="n">
        <v>850</v>
      </c>
      <c r="E20" s="2" t="inlineStr">
        <is>
          <t>H1实际445.17亿(-1.95%)+H2推算</t>
        </is>
      </c>
    </row>
    <row r="21">
      <c r="A21" s="4" t="inlineStr">
        <is>
          <t>FCF 转化率（FCF/净利）</t>
        </is>
      </c>
      <c r="B21" s="14" t="n">
        <v>0.98</v>
      </c>
      <c r="C21" s="14" t="n">
        <v>0.98</v>
      </c>
      <c r="D21" s="14" t="n">
        <v>0.98</v>
      </c>
      <c r="E21" s="2" t="inlineStr">
        <is>
          <t>净利-净再投资（CapEx约30亿-D&amp;A约18亿-ΔWC）</t>
        </is>
      </c>
    </row>
    <row r="22">
      <c r="A22" s="4" t="inlineStr">
        <is>
          <t>FCF 基期 2026E（亿元）</t>
        </is>
      </c>
      <c r="B22" s="7">
        <f>B20*B21</f>
        <v/>
      </c>
      <c r="C22" s="7">
        <f>C20*C21</f>
        <v/>
      </c>
      <c r="D22" s="7">
        <f>D20*D21</f>
        <v/>
      </c>
      <c r="E22" s="2" t="inlineStr">
        <is>
          <t>计算：净利×转化率</t>
        </is>
      </c>
    </row>
    <row r="23">
      <c r="A23" s="4" t="inlineStr">
        <is>
          <t>显性期增速 g5（2027-31E，%）</t>
        </is>
      </c>
      <c r="B23" s="12" t="n">
        <v>1</v>
      </c>
      <c r="C23" s="12" t="n">
        <v>5</v>
      </c>
      <c r="D23" s="12" t="n">
        <v>8</v>
      </c>
      <c r="E23" s="2" t="inlineStr">
        <is>
          <t>悲观=行业停滞；中性=温和恢复；乐观=量价周期回归</t>
        </is>
      </c>
    </row>
    <row r="24">
      <c r="A24" s="4" t="inlineStr">
        <is>
          <t>永续增长率 g（%）</t>
        </is>
      </c>
      <c r="B24" s="12" t="n">
        <v>1.5</v>
      </c>
      <c r="C24" s="12" t="n">
        <v>3</v>
      </c>
      <c r="D24" s="12" t="n">
        <v>3.5</v>
      </c>
      <c r="E24" s="2" t="inlineStr">
        <is>
          <t>上限锚定长期中国名义GDP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三情景 DCF — 显性期5年（2027E-2031E）+ 永续</t>
        </is>
      </c>
    </row>
    <row r="3">
      <c r="A3" s="3" t="inlineStr">
        <is>
          <t>情景汇总</t>
        </is>
      </c>
    </row>
    <row r="4">
      <c r="A4" s="13" t="inlineStr">
        <is>
          <t>指标</t>
        </is>
      </c>
      <c r="B4" s="13" t="inlineStr">
        <is>
          <t>悲观</t>
        </is>
      </c>
      <c r="C4" s="13" t="inlineStr">
        <is>
          <t>中性</t>
        </is>
      </c>
      <c r="D4" s="13" t="inlineStr">
        <is>
          <t>乐观</t>
        </is>
      </c>
      <c r="E4" s="13" t="inlineStr">
        <is>
          <t>现价对照</t>
        </is>
      </c>
    </row>
    <row r="5">
      <c r="A5" s="4" t="inlineStr">
        <is>
          <t>WACC（%）</t>
        </is>
      </c>
      <c r="B5" s="11">
        <f>假设与WACC!B16</f>
        <v/>
      </c>
      <c r="C5" s="11">
        <f>假设与WACC!C16</f>
        <v/>
      </c>
      <c r="D5" s="11">
        <f>假设与WACC!D16</f>
        <v/>
      </c>
    </row>
    <row r="6">
      <c r="A6" s="4" t="inlineStr">
        <is>
          <t>股权价值（亿元）</t>
        </is>
      </c>
      <c r="B6" s="6">
        <f>B22</f>
        <v/>
      </c>
      <c r="C6" s="6">
        <f>B37</f>
        <v/>
      </c>
      <c r="D6" s="6">
        <f>B52</f>
        <v/>
      </c>
      <c r="E6" s="6">
        <f>假设与WACC!B7</f>
        <v/>
      </c>
    </row>
    <row r="7">
      <c r="A7" s="4" t="inlineStr">
        <is>
          <t>每股价值（元）</t>
        </is>
      </c>
      <c r="B7" s="15">
        <f>B23</f>
        <v/>
      </c>
      <c r="C7" s="15">
        <f>B38</f>
        <v/>
      </c>
      <c r="D7" s="15">
        <f>B53</f>
        <v/>
      </c>
      <c r="E7" s="15">
        <f>假设与WACC!B5</f>
        <v/>
      </c>
    </row>
    <row r="8">
      <c r="A8" s="4" t="inlineStr">
        <is>
          <t>较现价空间</t>
        </is>
      </c>
      <c r="B8" s="16">
        <f>B24</f>
        <v/>
      </c>
      <c r="C8" s="16">
        <f>B39</f>
        <v/>
      </c>
      <c r="D8" s="16">
        <f>B54</f>
        <v/>
      </c>
    </row>
    <row r="9">
      <c r="A9" s="4" t="inlineStr">
        <is>
          <t>永续TV占比</t>
        </is>
      </c>
      <c r="B9" s="16">
        <f>B25</f>
        <v/>
      </c>
      <c r="C9" s="16">
        <f>B40</f>
        <v/>
      </c>
      <c r="D9" s="16">
        <f>B55</f>
        <v/>
      </c>
    </row>
    <row r="12">
      <c r="A12" s="3" t="inlineStr">
        <is>
          <t>—— 悲观情景 ——</t>
        </is>
      </c>
    </row>
    <row r="13">
      <c r="A13" s="13" t="inlineStr">
        <is>
          <t>项目</t>
        </is>
      </c>
      <c r="B13" s="13" t="inlineStr">
        <is>
          <t>2027E</t>
        </is>
      </c>
      <c r="C13" s="13" t="inlineStr">
        <is>
          <t>2028E</t>
        </is>
      </c>
      <c r="D13" s="13" t="inlineStr">
        <is>
          <t>2029E</t>
        </is>
      </c>
      <c r="E13" s="13" t="inlineStr">
        <is>
          <t>2030E</t>
        </is>
      </c>
      <c r="F13" s="13" t="inlineStr">
        <is>
          <t>2031E</t>
        </is>
      </c>
      <c r="G13" s="13" t="inlineStr">
        <is>
          <t>永续TV</t>
        </is>
      </c>
    </row>
    <row r="14">
      <c r="A14" s="4" t="inlineStr">
        <is>
          <t>FCF（亿元）</t>
        </is>
      </c>
      <c r="B14" s="17">
        <f>假设与WACC!B22</f>
        <v/>
      </c>
      <c r="C14" s="17">
        <f>B14*(1+假设与WACC!B23/100)</f>
        <v/>
      </c>
      <c r="D14" s="17">
        <f>C14*(1+假设与WACC!B23/100)</f>
        <v/>
      </c>
      <c r="E14" s="17">
        <f>D14*(1+假设与WACC!B23/100)</f>
        <v/>
      </c>
      <c r="F14" s="17">
        <f>E14*(1+假设与WACC!B23/100)</f>
        <v/>
      </c>
      <c r="G14" s="17">
        <f>F14*(1+假设与WACC!B24/100)/((假设与WACC!B16-假设与WACC!B24)/100)</f>
        <v/>
      </c>
    </row>
    <row r="15">
      <c r="A15" s="4" t="inlineStr">
        <is>
          <t>折现因子</t>
        </is>
      </c>
      <c r="B15" s="18">
        <f>1/(1+假设与WACC!B16/100)^1</f>
        <v/>
      </c>
      <c r="C15" s="18">
        <f>1/(1+假设与WACC!B16/100)^2</f>
        <v/>
      </c>
      <c r="D15" s="18">
        <f>1/(1+假设与WACC!B16/100)^3</f>
        <v/>
      </c>
      <c r="E15" s="18">
        <f>1/(1+假设与WACC!B16/100)^4</f>
        <v/>
      </c>
      <c r="F15" s="18">
        <f>1/(1+假设与WACC!B16/100)^5</f>
        <v/>
      </c>
      <c r="G15" s="18">
        <f>F15</f>
        <v/>
      </c>
    </row>
    <row r="16">
      <c r="A16" s="4" t="inlineStr">
        <is>
          <t>PV(FCF)</t>
        </is>
      </c>
      <c r="B16" s="17">
        <f>B14*B15</f>
        <v/>
      </c>
      <c r="C16" s="17">
        <f>C14*C15</f>
        <v/>
      </c>
      <c r="D16" s="17">
        <f>D14*D15</f>
        <v/>
      </c>
      <c r="E16" s="17">
        <f>E14*E15</f>
        <v/>
      </c>
      <c r="F16" s="17">
        <f>F14*F15</f>
        <v/>
      </c>
      <c r="G16" s="17">
        <f>G14*G15</f>
        <v/>
      </c>
    </row>
    <row r="20">
      <c r="A20" s="4" t="inlineStr">
        <is>
          <t>显性期PV合计（亿元）</t>
        </is>
      </c>
      <c r="B20" s="7">
        <f>SUM(B16:F16)</f>
        <v/>
      </c>
    </row>
    <row r="21">
      <c r="A21" s="4" t="inlineStr">
        <is>
          <t>永续TV现值（亿元）</t>
        </is>
      </c>
      <c r="B21" s="7">
        <f>G16</f>
        <v/>
      </c>
    </row>
    <row r="22">
      <c r="A22" s="4" t="inlineStr">
        <is>
          <t>股权价值（亿元）</t>
        </is>
      </c>
      <c r="B22" s="6">
        <f>B20+B21</f>
        <v/>
      </c>
    </row>
    <row r="23">
      <c r="A23" s="4" t="inlineStr">
        <is>
          <t>每股价值（元）</t>
        </is>
      </c>
      <c r="B23" s="15">
        <f>B22/假设与WACC!$B$6</f>
        <v/>
      </c>
    </row>
    <row r="24">
      <c r="A24" s="4" t="inlineStr">
        <is>
          <t>较现价空间</t>
        </is>
      </c>
      <c r="B24" s="19">
        <f>B23/假设与WACC!$B$5-1</f>
        <v/>
      </c>
    </row>
    <row r="25">
      <c r="A25" s="4" t="inlineStr">
        <is>
          <t>永续TV占比</t>
        </is>
      </c>
      <c r="B25" s="16">
        <f>B21/B22</f>
        <v/>
      </c>
    </row>
    <row r="27">
      <c r="A27" s="3" t="inlineStr">
        <is>
          <t>—— 中性情景 ——</t>
        </is>
      </c>
    </row>
    <row r="28">
      <c r="A28" s="13" t="inlineStr">
        <is>
          <t>项目</t>
        </is>
      </c>
      <c r="B28" s="13" t="inlineStr">
        <is>
          <t>2027E</t>
        </is>
      </c>
      <c r="C28" s="13" t="inlineStr">
        <is>
          <t>2028E</t>
        </is>
      </c>
      <c r="D28" s="13" t="inlineStr">
        <is>
          <t>2029E</t>
        </is>
      </c>
      <c r="E28" s="13" t="inlineStr">
        <is>
          <t>2030E</t>
        </is>
      </c>
      <c r="F28" s="13" t="inlineStr">
        <is>
          <t>2031E</t>
        </is>
      </c>
      <c r="G28" s="13" t="inlineStr">
        <is>
          <t>永续TV</t>
        </is>
      </c>
    </row>
    <row r="29">
      <c r="A29" s="4" t="inlineStr">
        <is>
          <t>FCF（亿元）</t>
        </is>
      </c>
      <c r="B29" s="17">
        <f>假设与WACC!C22</f>
        <v/>
      </c>
      <c r="C29" s="17">
        <f>B29*(1+假设与WACC!C23/100)</f>
        <v/>
      </c>
      <c r="D29" s="17">
        <f>C29*(1+假设与WACC!C23/100)</f>
        <v/>
      </c>
      <c r="E29" s="17">
        <f>D29*(1+假设与WACC!C23/100)</f>
        <v/>
      </c>
      <c r="F29" s="17">
        <f>E29*(1+假设与WACC!C23/100)</f>
        <v/>
      </c>
      <c r="G29" s="17">
        <f>F29*(1+假设与WACC!C24/100)/((假设与WACC!C16-假设与WACC!C24)/100)</f>
        <v/>
      </c>
    </row>
    <row r="30">
      <c r="A30" s="4" t="inlineStr">
        <is>
          <t>折现因子</t>
        </is>
      </c>
      <c r="B30" s="18">
        <f>1/(1+假设与WACC!C16/100)^1</f>
        <v/>
      </c>
      <c r="C30" s="18">
        <f>1/(1+假设与WACC!C16/100)^2</f>
        <v/>
      </c>
      <c r="D30" s="18">
        <f>1/(1+假设与WACC!C16/100)^3</f>
        <v/>
      </c>
      <c r="E30" s="18">
        <f>1/(1+假设与WACC!C16/100)^4</f>
        <v/>
      </c>
      <c r="F30" s="18">
        <f>1/(1+假设与WACC!C16/100)^5</f>
        <v/>
      </c>
      <c r="G30" s="18">
        <f>F30</f>
        <v/>
      </c>
    </row>
    <row r="31">
      <c r="A31" s="4" t="inlineStr">
        <is>
          <t>PV(FCF)</t>
        </is>
      </c>
      <c r="B31" s="17">
        <f>B29*B30</f>
        <v/>
      </c>
      <c r="C31" s="17">
        <f>C29*C30</f>
        <v/>
      </c>
      <c r="D31" s="17">
        <f>D29*D30</f>
        <v/>
      </c>
      <c r="E31" s="17">
        <f>E29*E30</f>
        <v/>
      </c>
      <c r="F31" s="17">
        <f>F29*F30</f>
        <v/>
      </c>
      <c r="G31" s="17">
        <f>G29*G30</f>
        <v/>
      </c>
    </row>
    <row r="35">
      <c r="A35" s="4" t="inlineStr">
        <is>
          <t>显性期PV合计（亿元）</t>
        </is>
      </c>
      <c r="B35" s="7">
        <f>SUM(B31:F31)</f>
        <v/>
      </c>
    </row>
    <row r="36">
      <c r="A36" s="4" t="inlineStr">
        <is>
          <t>永续TV现值（亿元）</t>
        </is>
      </c>
      <c r="B36" s="7">
        <f>G31</f>
        <v/>
      </c>
    </row>
    <row r="37">
      <c r="A37" s="4" t="inlineStr">
        <is>
          <t>股权价值（亿元）</t>
        </is>
      </c>
      <c r="B37" s="6">
        <f>B35+B36</f>
        <v/>
      </c>
    </row>
    <row r="38">
      <c r="A38" s="4" t="inlineStr">
        <is>
          <t>每股价值（元）</t>
        </is>
      </c>
      <c r="B38" s="15">
        <f>B37/假设与WACC!$B$6</f>
        <v/>
      </c>
    </row>
    <row r="39">
      <c r="A39" s="4" t="inlineStr">
        <is>
          <t>较现价空间</t>
        </is>
      </c>
      <c r="B39" s="19">
        <f>B38/假设与WACC!$B$5-1</f>
        <v/>
      </c>
    </row>
    <row r="40">
      <c r="A40" s="4" t="inlineStr">
        <is>
          <t>永续TV占比</t>
        </is>
      </c>
      <c r="B40" s="16">
        <f>B36/B37</f>
        <v/>
      </c>
    </row>
    <row r="42">
      <c r="A42" s="3" t="inlineStr">
        <is>
          <t>—— 乐观情景 ——</t>
        </is>
      </c>
    </row>
    <row r="43">
      <c r="A43" s="13" t="inlineStr">
        <is>
          <t>项目</t>
        </is>
      </c>
      <c r="B43" s="13" t="inlineStr">
        <is>
          <t>2027E</t>
        </is>
      </c>
      <c r="C43" s="13" t="inlineStr">
        <is>
          <t>2028E</t>
        </is>
      </c>
      <c r="D43" s="13" t="inlineStr">
        <is>
          <t>2029E</t>
        </is>
      </c>
      <c r="E43" s="13" t="inlineStr">
        <is>
          <t>2030E</t>
        </is>
      </c>
      <c r="F43" s="13" t="inlineStr">
        <is>
          <t>2031E</t>
        </is>
      </c>
      <c r="G43" s="13" t="inlineStr">
        <is>
          <t>永续TV</t>
        </is>
      </c>
    </row>
    <row r="44">
      <c r="A44" s="4" t="inlineStr">
        <is>
          <t>FCF（亿元）</t>
        </is>
      </c>
      <c r="B44" s="17">
        <f>假设与WACC!D22</f>
        <v/>
      </c>
      <c r="C44" s="17">
        <f>B44*(1+假设与WACC!D23/100)</f>
        <v/>
      </c>
      <c r="D44" s="17">
        <f>C44*(1+假设与WACC!D23/100)</f>
        <v/>
      </c>
      <c r="E44" s="17">
        <f>D44*(1+假设与WACC!D23/100)</f>
        <v/>
      </c>
      <c r="F44" s="17">
        <f>E44*(1+假设与WACC!D23/100)</f>
        <v/>
      </c>
      <c r="G44" s="17">
        <f>F44*(1+假设与WACC!D24/100)/((假设与WACC!D16-假设与WACC!D24)/100)</f>
        <v/>
      </c>
    </row>
    <row r="45">
      <c r="A45" s="4" t="inlineStr">
        <is>
          <t>折现因子</t>
        </is>
      </c>
      <c r="B45" s="18">
        <f>1/(1+假设与WACC!D16/100)^1</f>
        <v/>
      </c>
      <c r="C45" s="18">
        <f>1/(1+假设与WACC!D16/100)^2</f>
        <v/>
      </c>
      <c r="D45" s="18">
        <f>1/(1+假设与WACC!D16/100)^3</f>
        <v/>
      </c>
      <c r="E45" s="18">
        <f>1/(1+假设与WACC!D16/100)^4</f>
        <v/>
      </c>
      <c r="F45" s="18">
        <f>1/(1+假设与WACC!D16/100)^5</f>
        <v/>
      </c>
      <c r="G45" s="18">
        <f>F45</f>
        <v/>
      </c>
    </row>
    <row r="46">
      <c r="A46" s="4" t="inlineStr">
        <is>
          <t>PV(FCF)</t>
        </is>
      </c>
      <c r="B46" s="17">
        <f>B44*B45</f>
        <v/>
      </c>
      <c r="C46" s="17">
        <f>C44*C45</f>
        <v/>
      </c>
      <c r="D46" s="17">
        <f>D44*D45</f>
        <v/>
      </c>
      <c r="E46" s="17">
        <f>E44*E45</f>
        <v/>
      </c>
      <c r="F46" s="17">
        <f>F44*F45</f>
        <v/>
      </c>
      <c r="G46" s="17">
        <f>G44*G45</f>
        <v/>
      </c>
    </row>
    <row r="50">
      <c r="A50" s="4" t="inlineStr">
        <is>
          <t>显性期PV合计（亿元）</t>
        </is>
      </c>
      <c r="B50" s="7">
        <f>SUM(B46:F46)</f>
        <v/>
      </c>
    </row>
    <row r="51">
      <c r="A51" s="4" t="inlineStr">
        <is>
          <t>永续TV现值（亿元）</t>
        </is>
      </c>
      <c r="B51" s="7">
        <f>G46</f>
        <v/>
      </c>
    </row>
    <row r="52">
      <c r="A52" s="4" t="inlineStr">
        <is>
          <t>股权价值（亿元）</t>
        </is>
      </c>
      <c r="B52" s="6">
        <f>B50+B51</f>
        <v/>
      </c>
    </row>
    <row r="53">
      <c r="A53" s="4" t="inlineStr">
        <is>
          <t>每股价值（元）</t>
        </is>
      </c>
      <c r="B53" s="15">
        <f>B52/假设与WACC!$B$6</f>
        <v/>
      </c>
    </row>
    <row r="54">
      <c r="A54" s="4" t="inlineStr">
        <is>
          <t>较现价空间</t>
        </is>
      </c>
      <c r="B54" s="19">
        <f>B53/假设与WACC!$B$5-1</f>
        <v/>
      </c>
    </row>
    <row r="55">
      <c r="A55" s="4" t="inlineStr">
        <is>
          <t>永续TV占比</t>
        </is>
      </c>
      <c r="B55" s="16">
        <f>B51/B52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敏感性分析：每股价值（元）= f(WACC, 永续g)</t>
        </is>
      </c>
    </row>
    <row r="2">
      <c r="A2" s="2" t="inlineStr">
        <is>
          <t>固定中性情景FCF路径（第3行辅助计算，联动"假设与WACC"表），扫描WACC×永续g</t>
        </is>
      </c>
    </row>
    <row r="3">
      <c r="A3" s="2" t="inlineStr">
        <is>
          <t>中性FCF路径（亿元）</t>
        </is>
      </c>
      <c r="B3" s="7">
        <f>假设与WACC!$C$22*(1+假设与WACC!$C$23/100)^1</f>
        <v/>
      </c>
      <c r="C3" s="7">
        <f>假设与WACC!$C$22*(1+假设与WACC!$C$23/100)^2</f>
        <v/>
      </c>
      <c r="D3" s="7">
        <f>假设与WACC!$C$22*(1+假设与WACC!$C$23/100)^3</f>
        <v/>
      </c>
      <c r="E3" s="7">
        <f>假设与WACC!$C$22*(1+假设与WACC!$C$23/100)^4</f>
        <v/>
      </c>
      <c r="F3" s="7">
        <f>假设与WACC!$C$22*(1+假设与WACC!$C$23/100)^5</f>
        <v/>
      </c>
    </row>
    <row r="4">
      <c r="A4" s="13" t="inlineStr">
        <is>
          <t>WACC\永续g</t>
        </is>
      </c>
      <c r="B4" s="20" t="n">
        <v>0.015</v>
      </c>
      <c r="C4" s="20" t="n">
        <v>0.02</v>
      </c>
      <c r="D4" s="20" t="n">
        <v>0.025</v>
      </c>
      <c r="E4" s="20" t="n">
        <v>0.03</v>
      </c>
      <c r="F4" s="20" t="n">
        <v>0.035</v>
      </c>
    </row>
    <row r="5">
      <c r="A5" s="21" t="n">
        <v>0.065</v>
      </c>
      <c r="B5" s="6">
        <f>IF($A5&lt;=B$4+0.0001,"n/a",(B$3/(1+$A5)^1+C$3/(1+$A5)^2+D$3/(1+$A5)^3+E$3/(1+$A5)^4+F$3/(1+$A5)^5+F$3*(1+B$4)/($A5-B$4)/(1+$A5)^5)/假设与WACC!$B$6)</f>
        <v/>
      </c>
      <c r="C5" s="6">
        <f>IF($A5&lt;=C$4+0.0001,"n/a",(B$3/(1+$A5)^1+C$3/(1+$A5)^2+D$3/(1+$A5)^3+E$3/(1+$A5)^4+F$3/(1+$A5)^5+F$3*(1+C$4)/($A5-C$4)/(1+$A5)^5)/假设与WACC!$B$6)</f>
        <v/>
      </c>
      <c r="D5" s="6">
        <f>IF($A5&lt;=D$4+0.0001,"n/a",(B$3/(1+$A5)^1+C$3/(1+$A5)^2+D$3/(1+$A5)^3+E$3/(1+$A5)^4+F$3/(1+$A5)^5+F$3*(1+D$4)/($A5-D$4)/(1+$A5)^5)/假设与WACC!$B$6)</f>
        <v/>
      </c>
      <c r="E5" s="6">
        <f>IF($A5&lt;=E$4+0.0001,"n/a",(B$3/(1+$A5)^1+C$3/(1+$A5)^2+D$3/(1+$A5)^3+E$3/(1+$A5)^4+F$3/(1+$A5)^5+F$3*(1+E$4)/($A5-E$4)/(1+$A5)^5)/假设与WACC!$B$6)</f>
        <v/>
      </c>
      <c r="F5" s="6">
        <f>IF($A5&lt;=F$4+0.0001,"n/a",(B$3/(1+$A5)^1+C$3/(1+$A5)^2+D$3/(1+$A5)^3+E$3/(1+$A5)^4+F$3/(1+$A5)^5+F$3*(1+F$4)/($A5-F$4)/(1+$A5)^5)/假设与WACC!$B$6)</f>
        <v/>
      </c>
    </row>
    <row r="6">
      <c r="A6" s="21" t="n">
        <v>0.07000000000000001</v>
      </c>
      <c r="B6" s="6">
        <f>IF($A6&lt;=B$4+0.0001,"n/a",(B$3/(1+$A6)^1+C$3/(1+$A6)^2+D$3/(1+$A6)^3+E$3/(1+$A6)^4+F$3/(1+$A6)^5+F$3*(1+B$4)/($A6-B$4)/(1+$A6)^5)/假设与WACC!$B$6)</f>
        <v/>
      </c>
      <c r="C6" s="6">
        <f>IF($A6&lt;=C$4+0.0001,"n/a",(B$3/(1+$A6)^1+C$3/(1+$A6)^2+D$3/(1+$A6)^3+E$3/(1+$A6)^4+F$3/(1+$A6)^5+F$3*(1+C$4)/($A6-C$4)/(1+$A6)^5)/假设与WACC!$B$6)</f>
        <v/>
      </c>
      <c r="D6" s="6">
        <f>IF($A6&lt;=D$4+0.0001,"n/a",(B$3/(1+$A6)^1+C$3/(1+$A6)^2+D$3/(1+$A6)^3+E$3/(1+$A6)^4+F$3/(1+$A6)^5+F$3*(1+D$4)/($A6-D$4)/(1+$A6)^5)/假设与WACC!$B$6)</f>
        <v/>
      </c>
      <c r="E6" s="6">
        <f>IF($A6&lt;=E$4+0.0001,"n/a",(B$3/(1+$A6)^1+C$3/(1+$A6)^2+D$3/(1+$A6)^3+E$3/(1+$A6)^4+F$3/(1+$A6)^5+F$3*(1+E$4)/($A6-E$4)/(1+$A6)^5)/假设与WACC!$B$6)</f>
        <v/>
      </c>
      <c r="F6" s="6">
        <f>IF($A6&lt;=F$4+0.0001,"n/a",(B$3/(1+$A6)^1+C$3/(1+$A6)^2+D$3/(1+$A6)^3+E$3/(1+$A6)^4+F$3/(1+$A6)^5+F$3*(1+F$4)/($A6-F$4)/(1+$A6)^5)/假设与WACC!$B$6)</f>
        <v/>
      </c>
    </row>
    <row r="7">
      <c r="A7" s="21" t="n">
        <v>0.075</v>
      </c>
      <c r="B7" s="6">
        <f>IF($A7&lt;=B$4+0.0001,"n/a",(B$3/(1+$A7)^1+C$3/(1+$A7)^2+D$3/(1+$A7)^3+E$3/(1+$A7)^4+F$3/(1+$A7)^5+F$3*(1+B$4)/($A7-B$4)/(1+$A7)^5)/假设与WACC!$B$6)</f>
        <v/>
      </c>
      <c r="C7" s="6">
        <f>IF($A7&lt;=C$4+0.0001,"n/a",(B$3/(1+$A7)^1+C$3/(1+$A7)^2+D$3/(1+$A7)^3+E$3/(1+$A7)^4+F$3/(1+$A7)^5+F$3*(1+C$4)/($A7-C$4)/(1+$A7)^5)/假设与WACC!$B$6)</f>
        <v/>
      </c>
      <c r="D7" s="6">
        <f>IF($A7&lt;=D$4+0.0001,"n/a",(B$3/(1+$A7)^1+C$3/(1+$A7)^2+D$3/(1+$A7)^3+E$3/(1+$A7)^4+F$3/(1+$A7)^5+F$3*(1+D$4)/($A7-D$4)/(1+$A7)^5)/假设与WACC!$B$6)</f>
        <v/>
      </c>
      <c r="E7" s="6">
        <f>IF($A7&lt;=E$4+0.0001,"n/a",(B$3/(1+$A7)^1+C$3/(1+$A7)^2+D$3/(1+$A7)^3+E$3/(1+$A7)^4+F$3/(1+$A7)^5+F$3*(1+E$4)/($A7-E$4)/(1+$A7)^5)/假设与WACC!$B$6)</f>
        <v/>
      </c>
      <c r="F7" s="6">
        <f>IF($A7&lt;=F$4+0.0001,"n/a",(B$3/(1+$A7)^1+C$3/(1+$A7)^2+D$3/(1+$A7)^3+E$3/(1+$A7)^4+F$3/(1+$A7)^5+F$3*(1+F$4)/($A7-F$4)/(1+$A7)^5)/假设与WACC!$B$6)</f>
        <v/>
      </c>
    </row>
    <row r="8">
      <c r="A8" s="21" t="n">
        <v>0.08</v>
      </c>
      <c r="B8" s="6">
        <f>IF($A8&lt;=B$4+0.0001,"n/a",(B$3/(1+$A8)^1+C$3/(1+$A8)^2+D$3/(1+$A8)^3+E$3/(1+$A8)^4+F$3/(1+$A8)^5+F$3*(1+B$4)/($A8-B$4)/(1+$A8)^5)/假设与WACC!$B$6)</f>
        <v/>
      </c>
      <c r="C8" s="6">
        <f>IF($A8&lt;=C$4+0.0001,"n/a",(B$3/(1+$A8)^1+C$3/(1+$A8)^2+D$3/(1+$A8)^3+E$3/(1+$A8)^4+F$3/(1+$A8)^5+F$3*(1+C$4)/($A8-C$4)/(1+$A8)^5)/假设与WACC!$B$6)</f>
        <v/>
      </c>
      <c r="D8" s="6">
        <f>IF($A8&lt;=D$4+0.0001,"n/a",(B$3/(1+$A8)^1+C$3/(1+$A8)^2+D$3/(1+$A8)^3+E$3/(1+$A8)^4+F$3/(1+$A8)^5+F$3*(1+D$4)/($A8-D$4)/(1+$A8)^5)/假设与WACC!$B$6)</f>
        <v/>
      </c>
      <c r="E8" s="6">
        <f>IF($A8&lt;=E$4+0.0001,"n/a",(B$3/(1+$A8)^1+C$3/(1+$A8)^2+D$3/(1+$A8)^3+E$3/(1+$A8)^4+F$3/(1+$A8)^5+F$3*(1+E$4)/($A8-E$4)/(1+$A8)^5)/假设与WACC!$B$6)</f>
        <v/>
      </c>
      <c r="F8" s="6">
        <f>IF($A8&lt;=F$4+0.0001,"n/a",(B$3/(1+$A8)^1+C$3/(1+$A8)^2+D$3/(1+$A8)^3+E$3/(1+$A8)^4+F$3/(1+$A8)^5+F$3*(1+F$4)/($A8-F$4)/(1+$A8)^5)/假设与WACC!$B$6)</f>
        <v/>
      </c>
    </row>
    <row r="9">
      <c r="A9" s="21" t="n">
        <v>0.08500000000000001</v>
      </c>
      <c r="B9" s="6">
        <f>IF($A9&lt;=B$4+0.0001,"n/a",(B$3/(1+$A9)^1+C$3/(1+$A9)^2+D$3/(1+$A9)^3+E$3/(1+$A9)^4+F$3/(1+$A9)^5+F$3*(1+B$4)/($A9-B$4)/(1+$A9)^5)/假设与WACC!$B$6)</f>
        <v/>
      </c>
      <c r="C9" s="6">
        <f>IF($A9&lt;=C$4+0.0001,"n/a",(B$3/(1+$A9)^1+C$3/(1+$A9)^2+D$3/(1+$A9)^3+E$3/(1+$A9)^4+F$3/(1+$A9)^5+F$3*(1+C$4)/($A9-C$4)/(1+$A9)^5)/假设与WACC!$B$6)</f>
        <v/>
      </c>
      <c r="D9" s="6">
        <f>IF($A9&lt;=D$4+0.0001,"n/a",(B$3/(1+$A9)^1+C$3/(1+$A9)^2+D$3/(1+$A9)^3+E$3/(1+$A9)^4+F$3/(1+$A9)^5+F$3*(1+D$4)/($A9-D$4)/(1+$A9)^5)/假设与WACC!$B$6)</f>
        <v/>
      </c>
      <c r="E9" s="6">
        <f>IF($A9&lt;=E$4+0.0001,"n/a",(B$3/(1+$A9)^1+C$3/(1+$A9)^2+D$3/(1+$A9)^3+E$3/(1+$A9)^4+F$3/(1+$A9)^5+F$3*(1+E$4)/($A9-E$4)/(1+$A9)^5)/假设与WACC!$B$6)</f>
        <v/>
      </c>
      <c r="F9" s="6">
        <f>IF($A9&lt;=F$4+0.0001,"n/a",(B$3/(1+$A9)^1+C$3/(1+$A9)^2+D$3/(1+$A9)^3+E$3/(1+$A9)^4+F$3/(1+$A9)^5+F$3*(1+F$4)/($A9-F$4)/(1+$A9)^5)/假设与WACC!$B$6)</f>
        <v/>
      </c>
    </row>
    <row r="10">
      <c r="A10" s="21" t="n">
        <v>0.09</v>
      </c>
      <c r="B10" s="6">
        <f>IF($A10&lt;=B$4+0.0001,"n/a",(B$3/(1+$A10)^1+C$3/(1+$A10)^2+D$3/(1+$A10)^3+E$3/(1+$A10)^4+F$3/(1+$A10)^5+F$3*(1+B$4)/($A10-B$4)/(1+$A10)^5)/假设与WACC!$B$6)</f>
        <v/>
      </c>
      <c r="C10" s="6">
        <f>IF($A10&lt;=C$4+0.0001,"n/a",(B$3/(1+$A10)^1+C$3/(1+$A10)^2+D$3/(1+$A10)^3+E$3/(1+$A10)^4+F$3/(1+$A10)^5+F$3*(1+C$4)/($A10-C$4)/(1+$A10)^5)/假设与WACC!$B$6)</f>
        <v/>
      </c>
      <c r="D10" s="6">
        <f>IF($A10&lt;=D$4+0.0001,"n/a",(B$3/(1+$A10)^1+C$3/(1+$A10)^2+D$3/(1+$A10)^3+E$3/(1+$A10)^4+F$3/(1+$A10)^5+F$3*(1+D$4)/($A10-D$4)/(1+$A10)^5)/假设与WACC!$B$6)</f>
        <v/>
      </c>
      <c r="E10" s="6">
        <f>IF($A10&lt;=E$4+0.0001,"n/a",(B$3/(1+$A10)^1+C$3/(1+$A10)^2+D$3/(1+$A10)^3+E$3/(1+$A10)^4+F$3/(1+$A10)^5+F$3*(1+E$4)/($A10-E$4)/(1+$A10)^5)/假设与WACC!$B$6)</f>
        <v/>
      </c>
      <c r="F10" s="6">
        <f>IF($A10&lt;=F$4+0.0001,"n/a",(B$3/(1+$A10)^1+C$3/(1+$A10)^2+D$3/(1+$A10)^3+E$3/(1+$A10)^4+F$3/(1+$A10)^5+F$3*(1+F$4)/($A10-F$4)/(1+$A10)^5)/假设与WACC!$B$6)</f>
        <v/>
      </c>
    </row>
    <row r="13">
      <c r="A13" s="3" t="inlineStr">
        <is>
          <t>反向 DCF 审计（现价 1299.52 元 / 市值 16,245 亿）</t>
        </is>
      </c>
    </row>
    <row r="14">
      <c r="A14" s="4" t="inlineStr">
        <is>
          <t>市场价隐含前5年FCF增速</t>
        </is>
      </c>
      <c r="B14" s="4" t="inlineStr">
        <is>
          <t>≈ 0.28%/年</t>
        </is>
      </c>
      <c r="D14" s="2" t="inlineStr">
        <is>
          <t>在中性 WACC 7.51%、永续 g 3.0% 下</t>
        </is>
      </c>
    </row>
    <row r="15">
      <c r="A15" s="4" t="inlineStr">
        <is>
          <t>市场价隐含 WACC</t>
        </is>
      </c>
      <c r="B15" s="4" t="inlineStr">
        <is>
          <t>≈ 8.57%</t>
        </is>
      </c>
      <c r="D15" s="2" t="inlineStr">
        <is>
          <t>在5年增速5%、永续 g 3.0% 下；等价 ERP ≈ 8.9%</t>
        </is>
      </c>
    </row>
    <row r="16">
      <c r="A16" s="4" t="inlineStr">
        <is>
          <t>解读</t>
        </is>
      </c>
      <c r="B16" s="4" t="inlineStr">
        <is>
          <t>停滞 或 高折现率，二选一</t>
        </is>
      </c>
      <c r="D16" s="2" t="inlineStr">
        <is>
          <t>两种解释均指向：中性假设下现价存在安全边际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数据底稿与来源（采集日 2026-08-31）</t>
        </is>
      </c>
    </row>
    <row r="3">
      <c r="A3" s="13" t="inlineStr">
        <is>
          <t>科目（亿元）</t>
        </is>
      </c>
      <c r="B3" s="13" t="inlineStr">
        <is>
          <t>2021A</t>
        </is>
      </c>
      <c r="C3" s="13" t="inlineStr">
        <is>
          <t>2022A</t>
        </is>
      </c>
      <c r="D3" s="13" t="inlineStr">
        <is>
          <t>2023A</t>
        </is>
      </c>
      <c r="E3" s="13" t="inlineStr">
        <is>
          <t>2024A</t>
        </is>
      </c>
      <c r="F3" s="13" t="inlineStr">
        <is>
          <t>2025A</t>
        </is>
      </c>
    </row>
    <row r="4">
      <c r="A4" s="22" t="inlineStr">
        <is>
          <t>营业收入</t>
        </is>
      </c>
      <c r="B4" s="23" t="n">
        <v>1061.9</v>
      </c>
      <c r="C4" s="23" t="n">
        <v>1241</v>
      </c>
      <c r="D4" s="23" t="n">
        <v>1476.94</v>
      </c>
      <c r="E4" s="23" t="n">
        <v>1708.99</v>
      </c>
      <c r="F4" s="23" t="n">
        <v>1688.38</v>
      </c>
    </row>
    <row r="5">
      <c r="A5" s="22" t="inlineStr">
        <is>
          <t>归母净利润</t>
        </is>
      </c>
      <c r="B5" s="23" t="n">
        <v>524.6</v>
      </c>
      <c r="C5" s="23" t="n">
        <v>627.17</v>
      </c>
      <c r="D5" s="23" t="n">
        <v>747.34</v>
      </c>
      <c r="E5" s="23" t="n">
        <v>862.28</v>
      </c>
      <c r="F5" s="23" t="n">
        <v>823.2</v>
      </c>
    </row>
    <row r="6">
      <c r="A6" s="22" t="inlineStr">
        <is>
          <t>营收增速</t>
        </is>
      </c>
      <c r="B6" s="22" t="n"/>
      <c r="C6" s="24" t="n">
        <v>0.169</v>
      </c>
      <c r="D6" s="24" t="n">
        <v>0.19</v>
      </c>
      <c r="E6" s="24" t="n">
        <v>0.157</v>
      </c>
      <c r="F6" s="24" t="n">
        <v>-0.012</v>
      </c>
    </row>
    <row r="7">
      <c r="A7" s="22" t="inlineStr">
        <is>
          <t>净利增速</t>
        </is>
      </c>
      <c r="B7" s="22" t="n"/>
      <c r="C7" s="24" t="n">
        <v>0.196</v>
      </c>
      <c r="D7" s="24" t="n">
        <v>0.192</v>
      </c>
      <c r="E7" s="24" t="n">
        <v>0.154</v>
      </c>
      <c r="F7" s="24" t="n">
        <v>-0.045</v>
      </c>
    </row>
    <row r="8">
      <c r="A8" s="22" t="inlineStr">
        <is>
          <t>经营现金流净额</t>
        </is>
      </c>
      <c r="B8" s="22" t="n"/>
      <c r="C8" s="22" t="n"/>
      <c r="D8" s="23" t="n">
        <v>665.9299999999999</v>
      </c>
      <c r="E8" s="23" t="n">
        <v>924.64</v>
      </c>
      <c r="F8" s="23" t="n">
        <v>615.22</v>
      </c>
    </row>
    <row r="9">
      <c r="A9" s="22" t="inlineStr">
        <is>
          <t>CapEx</t>
        </is>
      </c>
      <c r="B9" s="22" t="n"/>
      <c r="C9" s="22" t="n"/>
      <c r="D9" s="23" t="n">
        <v>26.2</v>
      </c>
      <c r="E9" s="23" t="n">
        <v>46.79</v>
      </c>
      <c r="F9" s="23" t="n">
        <v>31.28</v>
      </c>
    </row>
    <row r="10">
      <c r="A10" s="22" t="inlineStr">
        <is>
          <t>OCF-CapEx（财务公司扭曲）</t>
        </is>
      </c>
      <c r="B10" s="22" t="n"/>
      <c r="C10" s="22" t="n"/>
      <c r="D10" s="23" t="n">
        <v>639.73</v>
      </c>
      <c r="E10" s="23" t="n">
        <v>877.85</v>
      </c>
      <c r="F10" s="23" t="n">
        <v>583.9400000000001</v>
      </c>
    </row>
    <row r="11">
      <c r="A11" s="22" t="inlineStr">
        <is>
          <t>分红支付</t>
        </is>
      </c>
      <c r="B11" s="22" t="n"/>
      <c r="C11" s="22" t="n"/>
      <c r="D11" s="23" t="n">
        <v>587.55</v>
      </c>
      <c r="E11" s="23" t="n">
        <v>709.51</v>
      </c>
      <c r="F11" s="23" t="n">
        <v>672.42</v>
      </c>
    </row>
    <row r="14">
      <c r="A14" s="3" t="inlineStr">
        <is>
          <t>2026H1 实际（中报2026-08-15披露）</t>
        </is>
      </c>
    </row>
    <row r="15">
      <c r="A15" s="4" t="inlineStr">
        <is>
          <t>营业收入</t>
        </is>
      </c>
      <c r="B15" s="7" t="n">
        <v>907.03</v>
      </c>
      <c r="D15" s="2" t="inlineStr">
        <is>
          <t>+1.48% vs 2025H1 893.89亿</t>
        </is>
      </c>
    </row>
    <row r="16">
      <c r="A16" s="4" t="inlineStr">
        <is>
          <t>归母净利润</t>
        </is>
      </c>
      <c r="B16" s="7" t="n">
        <v>445.17</v>
      </c>
      <c r="D16" s="2" t="inlineStr">
        <is>
          <t>-1.95% vs 2025H1 454.03亿</t>
        </is>
      </c>
    </row>
    <row r="17">
      <c r="A17" s="4" t="inlineStr">
        <is>
          <t>经营现金流净额</t>
        </is>
      </c>
      <c r="B17" s="7" t="n">
        <v>706.91</v>
      </c>
      <c r="D17" s="2" t="inlineStr">
        <is>
          <t>受财务公司存款波动影响（2025H1仅131.19亿），不可直接年化</t>
        </is>
      </c>
    </row>
    <row r="18">
      <c r="A18" s="4" t="inlineStr">
        <is>
          <t>CapEx</t>
        </is>
      </c>
      <c r="B18" s="7" t="n">
        <v>8.32</v>
      </c>
      <c r="D18" s="2" t="inlineStr">
        <is>
          <t>全年预计20-30亿</t>
        </is>
      </c>
    </row>
    <row r="19">
      <c r="A19" s="4" t="inlineStr">
        <is>
          <t>分红支付</t>
        </is>
      </c>
      <c r="B19" s="7" t="n">
        <v>350.44</v>
      </c>
      <c r="D19" s="2" t="inlineStr">
        <is>
          <t>2025年度末期股利28.0242元/股</t>
        </is>
      </c>
    </row>
    <row r="20">
      <c r="A20" s="4" t="inlineStr">
        <is>
          <t>2025年度DPS合计（元）</t>
        </is>
      </c>
      <c r="B20" s="7" t="n">
        <v>51.98</v>
      </c>
      <c r="D20" s="2" t="inlineStr">
        <is>
          <t>中期23.957+年度28.0242；现价股息率4.00%，分红率79.1%</t>
        </is>
      </c>
    </row>
    <row r="23">
      <c r="A23" s="3" t="inlineStr">
        <is>
          <t>Beta 回归与 WACC 输入</t>
        </is>
      </c>
    </row>
    <row r="24">
      <c r="A24" s="4" t="inlineStr">
        <is>
          <t>β（近3年，vs 上证指数）</t>
        </is>
      </c>
      <c r="B24" s="10" t="n">
        <v>0.667</v>
      </c>
    </row>
    <row r="25">
      <c r="A25" s="4" t="inlineStr">
        <is>
          <t>β（近2年，采用）</t>
        </is>
      </c>
      <c r="B25" s="10" t="n">
        <v>0.665</v>
      </c>
    </row>
    <row r="26">
      <c r="A26" s="4" t="inlineStr">
        <is>
          <t>β（近1年）</t>
        </is>
      </c>
      <c r="B26" s="25" t="n">
        <v>0.115</v>
      </c>
    </row>
    <row r="27">
      <c r="A27" s="4" t="inlineStr">
        <is>
          <t>Blume调整β（模型采用）</t>
        </is>
      </c>
      <c r="B27" s="10" t="n">
        <v>0.777</v>
      </c>
    </row>
    <row r="28">
      <c r="A28" s="4" t="inlineStr">
        <is>
          <t>Rf 中债10Y（2026-08-31）</t>
        </is>
      </c>
      <c r="B28" s="26" t="inlineStr">
        <is>
          <t>1.6883%</t>
        </is>
      </c>
    </row>
    <row r="29">
      <c r="A29" s="4" t="inlineStr">
        <is>
          <t>茅台年化波动率（2年）</t>
        </is>
      </c>
      <c r="B29" s="26" t="inlineStr">
        <is>
          <t>24.4%</t>
        </is>
      </c>
    </row>
    <row r="30">
      <c r="A30" s="4" t="inlineStr">
        <is>
          <t>与上证相关系数（2年）</t>
        </is>
      </c>
      <c r="B30" s="10" t="n">
        <v>0.471</v>
      </c>
    </row>
    <row r="31">
      <c r="A31" s="4" t="inlineStr">
        <is>
          <t>有效所得税率（2025）</t>
        </is>
      </c>
      <c r="B31" s="27" t="inlineStr">
        <is>
          <t>25.7%</t>
        </is>
      </c>
    </row>
    <row r="33">
      <c r="A33" s="2" t="inlineStr">
        <is>
          <t>数据来源：AkShare（新浪财经财报接口/中债国债收益率/新浪日线）、腾讯行情（2026-08-31收盘）、贵州茅台2026年中报（2026-08-15披露）、业绩说明会（2026-08-21，陈华/王莉发言）、知识库《茅台估值假设》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2026-08-31T16:19:01Z</dcterms:created>
  <dcterms:modified xmlns:dcterms="http://purl.org/dc/terms/" xmlns:xsi="http://www.w3.org/2001/XMLSchema-instance" xsi:type="dcterms:W3CDTF">2026-08-31T16:19:01Z</dcterms:modified>
</cp:coreProperties>
</file>