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与情景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资产负债表" sheetId="3" state="visible" r:id="rId3"/>
    <sheet xmlns:r="http://schemas.openxmlformats.org/officeDocument/2006/relationships" name="现金流量表" sheetId="4" state="visible" r:id="rId4"/>
    <sheet xmlns:r="http://schemas.openxmlformats.org/officeDocument/2006/relationships" name="情景对比" sheetId="5" state="visible" r:id="rId5"/>
    <sheet xmlns:r="http://schemas.openxmlformats.org/officeDocument/2006/relationships" name="检查" sheetId="6" state="visible" r:id="rId6"/>
    <sheet xmlns:r="http://schemas.openxmlformats.org/officeDocument/2006/relationships" name="数据底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color rgb="00808080"/>
      <sz val="9"/>
    </font>
    <font>
      <name val="微软雅黑"/>
      <b val="1"/>
      <color rgb="001F4E79"/>
      <sz val="11"/>
    </font>
    <font>
      <name val="微软雅黑"/>
      <sz val="10"/>
    </font>
    <font>
      <name val="微软雅黑"/>
      <color rgb="000000FF"/>
      <sz val="10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color rgb="00000000"/>
      <sz val="10"/>
    </font>
    <font>
      <name val="微软雅黑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2" fontId="5" fillId="3" borderId="1" pivotButton="0" quotePrefix="0" xfId="0"/>
    <xf numFmtId="10" fontId="5" fillId="0" borderId="1" pivotButton="0" quotePrefix="0" xfId="0"/>
    <xf numFmtId="0" fontId="6" fillId="4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7" fillId="5" borderId="0" pivotButton="0" quotePrefix="0" xfId="0"/>
    <xf numFmtId="165" fontId="5" fillId="0" borderId="1" pivotButton="0" quotePrefix="0" xfId="0"/>
    <xf numFmtId="165" fontId="9" fillId="0" borderId="1" pivotButton="0" quotePrefix="0" xfId="0"/>
    <xf numFmtId="165" fontId="8" fillId="0" borderId="1" pivotButton="0" quotePrefix="0" xfId="0"/>
    <xf numFmtId="2" fontId="9" fillId="0" borderId="1" pivotButton="0" quotePrefix="0" xfId="0"/>
    <xf numFmtId="164" fontId="8" fillId="0" borderId="1" pivotButton="0" quotePrefix="0" xfId="0"/>
    <xf numFmtId="164" fontId="5" fillId="0" borderId="1" pivotButton="0" quotePrefix="0" xfId="0"/>
    <xf numFmtId="2" fontId="8" fillId="0" borderId="1" pivotButton="0" quotePrefix="0" xfId="0"/>
    <xf numFmtId="164" fontId="9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模型</author>
  </authors>
  <commentList>
    <comment ref="B5" authorId="0" shapeId="0">
      <text>
        <t>来源: 腾讯行情 2026-08-31</t>
      </text>
    </comment>
    <comment ref="B6" authorId="0" shapeId="0">
      <text>
        <t>来源: 2026中报, 回购注销后</t>
      </text>
    </comment>
    <comment ref="B7" authorId="0" shapeId="0">
      <text>
        <t>来源: 中期23.957+末期28.024</t>
      </text>
    </comment>
    <comment ref="B10" authorId="0" shapeId="0">
      <text>
        <t>由2025A实际值计算</t>
      </text>
    </comment>
    <comment ref="B11" authorId="0" shapeId="0">
      <text>
        <t>由2025A实际值计算</t>
      </text>
    </comment>
    <comment ref="B12" authorId="0" shapeId="0">
      <text>
        <t>由2025A实际值计算</t>
      </text>
    </comment>
    <comment ref="B13" authorId="0" shapeId="0">
      <text>
        <t>由2025A实际值计算</t>
      </text>
    </comment>
    <comment ref="B14" authorId="0" shapeId="0">
      <text>
        <t>由2025A实际值计算</t>
      </text>
    </comment>
    <comment ref="B15" authorId="0" shapeId="0">
      <text>
        <t>由2025A实际值计算</t>
      </text>
    </comment>
    <comment ref="B16" authorId="0" shapeId="0">
      <text>
        <t>由2025A实际值计算</t>
      </text>
    </comment>
    <comment ref="B17" authorId="0" shapeId="0">
      <text>
        <t>由2025A实际值计算</t>
      </text>
    </comment>
    <comment ref="B18" authorId="0" shapeId="0">
      <text>
        <t>由2025A实际值计算</t>
      </text>
    </comment>
    <comment ref="B19" authorId="0" shapeId="0">
      <text>
        <t>由2025A实际值计算</t>
      </text>
    </comment>
    <comment ref="B20" authorId="0" shapeId="0">
      <text>
        <t>由2025A实际值计算</t>
      </text>
    </comment>
  </commentList>
</comments>
</file>

<file path=xl/comments/comment2.xml><?xml version="1.0" encoding="utf-8"?>
<comments xmlns="http://schemas.openxmlformats.org/spreadsheetml/2006/main">
  <authors>
    <author>模型</author>
  </authors>
  <commentList>
    <comment ref="B6" authorId="0" shapeId="0">
      <text>
        <t>来源: AkShare新浪财经(sh600519, 2023-2025年报), 采集2026-08-31</t>
      </text>
    </comment>
    <comment ref="C6" authorId="0" shapeId="0">
      <text>
        <t>来源: AkShare新浪财经(sh600519, 2023-2025年报), 采集2026-08-31</t>
      </text>
    </comment>
    <comment ref="D6" authorId="0" shapeId="0">
      <text>
        <t>来源: AkShare新浪财经(sh600519, 2023-2025年报), 采集2026-08-31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46" customWidth="1" min="5" max="5"/>
    <col width="12" customWidth="1" min="6" max="6"/>
  </cols>
  <sheetData>
    <row r="1">
      <c r="A1" s="1" t="inlineStr">
        <is>
          <t>贵州茅台（600519.SH）三表联动模型 — 假设与情景</t>
        </is>
      </c>
    </row>
    <row r="2">
      <c r="A2" s="2" t="inlineStr">
        <is>
          <t>单位: 人民币亿元（另注明者除外）｜ 黄底蓝字=可修改输入 ｜ 历史比率由2025A实际值锚定</t>
        </is>
      </c>
    </row>
    <row r="4">
      <c r="A4" s="3" t="inlineStr">
        <is>
          <t>一、市场与股本</t>
        </is>
      </c>
    </row>
    <row r="5">
      <c r="A5" s="4" t="inlineStr">
        <is>
          <t>现价（元, 2026-08-31收盘）</t>
        </is>
      </c>
      <c r="B5" s="5" t="n">
        <v>1299.52</v>
      </c>
    </row>
    <row r="6">
      <c r="A6" s="4" t="inlineStr">
        <is>
          <t>总股本（亿股, 2026H1末）</t>
        </is>
      </c>
      <c r="B6" s="5" t="n">
        <v>12.52</v>
      </c>
    </row>
    <row r="7">
      <c r="A7" s="4" t="inlineStr">
        <is>
          <t>2025A 全年DPS（元）</t>
        </is>
      </c>
      <c r="B7" s="5" t="n">
        <v>51.98</v>
      </c>
    </row>
    <row r="9">
      <c r="A9" s="3" t="inlineStr">
        <is>
          <t>二、2025A 实际比率（锚定值, 仅参考）</t>
        </is>
      </c>
    </row>
    <row r="10">
      <c r="A10" s="4" t="inlineStr">
        <is>
          <t>毛利率</t>
        </is>
      </c>
      <c r="B10" s="6" t="n">
        <v>0.91</v>
      </c>
    </row>
    <row r="11">
      <c r="A11" s="4" t="inlineStr">
        <is>
          <t>税金及附加/营收</t>
        </is>
      </c>
      <c r="B11" s="6" t="n">
        <v>0.16</v>
      </c>
    </row>
    <row r="12">
      <c r="A12" s="4" t="inlineStr">
        <is>
          <t>销售费用率</t>
        </is>
      </c>
      <c r="B12" s="6" t="n">
        <v>0.04</v>
      </c>
    </row>
    <row r="13">
      <c r="A13" s="4" t="inlineStr">
        <is>
          <t>管理费用率（不含研发）</t>
        </is>
      </c>
      <c r="B13" s="6" t="n">
        <v>0.05</v>
      </c>
    </row>
    <row r="14">
      <c r="A14" s="4" t="inlineStr">
        <is>
          <t>研发费用率</t>
        </is>
      </c>
      <c r="B14" s="6" t="n">
        <v>0</v>
      </c>
    </row>
    <row r="15">
      <c r="A15" s="4" t="inlineStr">
        <is>
          <t>有效税率</t>
        </is>
      </c>
      <c r="B15" s="6" t="n">
        <v>0.26</v>
      </c>
    </row>
    <row r="16">
      <c r="A16" s="4" t="inlineStr">
        <is>
          <t>少数股东损益/净利润</t>
        </is>
      </c>
      <c r="B16" s="6" t="n">
        <v>0.04</v>
      </c>
    </row>
    <row r="17">
      <c r="A17" s="4" t="inlineStr">
        <is>
          <t>存货/营收</t>
        </is>
      </c>
      <c r="B17" s="6" t="n">
        <v>0.36</v>
      </c>
    </row>
    <row r="18">
      <c r="A18" s="4" t="inlineStr">
        <is>
          <t>合同负债/营收</t>
        </is>
      </c>
      <c r="B18" s="6" t="n">
        <v>0.05</v>
      </c>
    </row>
    <row r="19">
      <c r="A19" s="4" t="inlineStr">
        <is>
          <t>应收款项融资/营收</t>
        </is>
      </c>
      <c r="B19" s="6" t="n">
        <v>0.03</v>
      </c>
    </row>
    <row r="20">
      <c r="A20" s="4" t="inlineStr">
        <is>
          <t>其他经营性负债/营收</t>
        </is>
      </c>
      <c r="B20" s="6" t="n">
        <v>0.14</v>
      </c>
    </row>
    <row r="22">
      <c r="A22" s="3" t="inlineStr">
        <is>
          <t>三、情景假设（2026E-2030E 驱动参数）</t>
        </is>
      </c>
    </row>
    <row r="23">
      <c r="A23" s="7" t="inlineStr">
        <is>
          <t>参数</t>
        </is>
      </c>
      <c r="B23" s="7" t="inlineStr">
        <is>
          <t>悲观</t>
        </is>
      </c>
      <c r="C23" s="7" t="inlineStr">
        <is>
          <t>中性</t>
        </is>
      </c>
      <c r="D23" s="7" t="inlineStr">
        <is>
          <t>乐观</t>
        </is>
      </c>
      <c r="E23" s="7" t="inlineStr">
        <is>
          <t>备注</t>
        </is>
      </c>
    </row>
    <row r="24">
      <c r="A24" s="4" t="inlineStr">
        <is>
          <t>营收增速 2026E</t>
        </is>
      </c>
      <c r="B24" s="8" t="n">
        <v>-0.02</v>
      </c>
      <c r="C24" s="8" t="n">
        <v>0.02</v>
      </c>
      <c r="D24" s="8" t="n">
        <v>0.04</v>
      </c>
      <c r="E24" s="2" t="inlineStr">
        <is>
          <t>2026H1实际+1.5%；悲观=行业调整深化</t>
        </is>
      </c>
    </row>
    <row r="25">
      <c r="A25" s="4" t="inlineStr">
        <is>
          <t>营收增速 2027E</t>
        </is>
      </c>
      <c r="B25" s="8" t="n">
        <v>0</v>
      </c>
      <c r="C25" s="8" t="n">
        <v>0.05</v>
      </c>
      <c r="D25" s="8" t="n">
        <v>0.08</v>
      </c>
    </row>
    <row r="26">
      <c r="A26" s="4" t="inlineStr">
        <is>
          <t>营收增速 2028E</t>
        </is>
      </c>
      <c r="B26" s="8" t="n">
        <v>0.01</v>
      </c>
      <c r="C26" s="8" t="n">
        <v>0.05</v>
      </c>
      <c r="D26" s="8" t="n">
        <v>0.08</v>
      </c>
    </row>
    <row r="27">
      <c r="A27" s="4" t="inlineStr">
        <is>
          <t>营收增速 2029E</t>
        </is>
      </c>
      <c r="B27" s="8" t="n">
        <v>0.01</v>
      </c>
      <c r="C27" s="8" t="n">
        <v>0.04</v>
      </c>
      <c r="D27" s="8" t="n">
        <v>0.07000000000000001</v>
      </c>
    </row>
    <row r="28">
      <c r="A28" s="4" t="inlineStr">
        <is>
          <t>营收增速 2030E</t>
        </is>
      </c>
      <c r="B28" s="8" t="n">
        <v>0.01</v>
      </c>
      <c r="C28" s="8" t="n">
        <v>0.04</v>
      </c>
      <c r="D28" s="8" t="n">
        <v>0.06</v>
      </c>
      <c r="E28" s="2" t="inlineStr">
        <is>
          <t>长期锚定高端白酒量价</t>
        </is>
      </c>
    </row>
    <row r="29">
      <c r="A29" s="4" t="inlineStr">
        <is>
          <t>毛利率</t>
        </is>
      </c>
      <c r="B29" s="8" t="n">
        <v>0.912</v>
      </c>
      <c r="C29" s="8" t="n">
        <v>0.912</v>
      </c>
      <c r="D29" s="8" t="n">
        <v>0.912</v>
      </c>
      <c r="E29" s="2" t="inlineStr">
        <is>
          <t>2025A实际91.2%，茅台酒成本结构极稳定</t>
        </is>
      </c>
    </row>
    <row r="30">
      <c r="A30" s="4" t="inlineStr">
        <is>
          <t>税金及附加/营收</t>
        </is>
      </c>
      <c r="B30" s="5" t="n">
        <v>0.165</v>
      </c>
      <c r="C30" s="5" t="n">
        <v>0.162</v>
      </c>
      <c r="D30" s="5" t="n">
        <v>0.16</v>
      </c>
      <c r="E30" s="2" t="inlineStr">
        <is>
          <t>2023-25年: 15.1%/15.8%/16.2%（消费税口径收紧）</t>
        </is>
      </c>
    </row>
    <row r="31">
      <c r="A31" s="4" t="inlineStr">
        <is>
          <t>销售费用率</t>
        </is>
      </c>
      <c r="B31" s="8" t="n">
        <v>0.046</v>
      </c>
      <c r="C31" s="8" t="n">
        <v>0.04</v>
      </c>
      <c r="D31" s="8" t="n">
        <v>0.038</v>
      </c>
      <c r="E31" s="2" t="inlineStr">
        <is>
          <t>2025A实际4.30%（渠道与市场投入加大）</t>
        </is>
      </c>
    </row>
    <row r="32">
      <c r="A32" s="4" t="inlineStr">
        <is>
          <t>管理费用率（不含研发）</t>
        </is>
      </c>
      <c r="B32" s="8" t="n">
        <v>0.051</v>
      </c>
      <c r="C32" s="8" t="n">
        <v>0.048</v>
      </c>
      <c r="D32" s="8" t="n">
        <v>0.047</v>
      </c>
      <c r="E32" s="2" t="inlineStr">
        <is>
          <t>2025A实际4.93%</t>
        </is>
      </c>
    </row>
    <row r="33">
      <c r="A33" s="4" t="inlineStr">
        <is>
          <t>研发费用率</t>
        </is>
      </c>
      <c r="B33" s="8" t="n">
        <v>0.0011</v>
      </c>
      <c r="C33" s="8" t="n">
        <v>0.0011</v>
      </c>
      <c r="D33" s="8" t="n">
        <v>0.0011</v>
      </c>
    </row>
    <row r="34">
      <c r="A34" s="4" t="inlineStr">
        <is>
          <t>有效税率</t>
        </is>
      </c>
      <c r="B34" s="8" t="n">
        <v>0.258</v>
      </c>
      <c r="C34" s="8" t="n">
        <v>0.257</v>
      </c>
      <c r="D34" s="8" t="n">
        <v>0.256</v>
      </c>
      <c r="E34" s="2" t="inlineStr">
        <is>
          <t>2025A实际25.66%</t>
        </is>
      </c>
    </row>
    <row r="35">
      <c r="A35" s="4" t="inlineStr">
        <is>
          <t>少数股东损益/净利润</t>
        </is>
      </c>
      <c r="B35" s="5" t="n">
        <v>0.036</v>
      </c>
      <c r="C35" s="5" t="n">
        <v>0.035</v>
      </c>
      <c r="D35" s="5" t="n">
        <v>0.034</v>
      </c>
      <c r="E35" s="2" t="inlineStr">
        <is>
          <t>2025A实际3.50%（酱香系列酒等子公司）</t>
        </is>
      </c>
    </row>
    <row r="36">
      <c r="A36" s="4" t="inlineStr">
        <is>
          <t>分红率（占归母净利）</t>
        </is>
      </c>
      <c r="B36" s="8" t="n">
        <v>0.75</v>
      </c>
      <c r="C36" s="8" t="n">
        <v>0.78</v>
      </c>
      <c r="D36" s="8" t="n">
        <v>0.8</v>
      </c>
      <c r="E36" s="2" t="inlineStr">
        <is>
          <t>2025A实际约79%；假设当年宣派当年支付</t>
        </is>
      </c>
    </row>
    <row r="37">
      <c r="A37" s="4" t="inlineStr">
        <is>
          <t>年回购额（亿）</t>
        </is>
      </c>
      <c r="B37" s="5" t="n">
        <v>0</v>
      </c>
      <c r="C37" s="9" t="n">
        <v>40</v>
      </c>
      <c r="D37" s="9" t="n">
        <v>50</v>
      </c>
      <c r="E37" s="2" t="inlineStr">
        <is>
          <t>2025年支付其他筹资61.85亿（回购为主）</t>
        </is>
      </c>
    </row>
    <row r="38">
      <c r="A38" s="4" t="inlineStr">
        <is>
          <t>CapEx（亿/年）</t>
        </is>
      </c>
      <c r="B38" s="9" t="n">
        <v>30</v>
      </c>
      <c r="C38" s="9" t="n">
        <v>40</v>
      </c>
      <c r="D38" s="9" t="n">
        <v>50</v>
      </c>
      <c r="E38" s="2" t="inlineStr">
        <is>
          <t>2023-25年: 26.2/46.8/31.3；产能扩建周期</t>
        </is>
      </c>
    </row>
    <row r="39">
      <c r="A39" s="4" t="inlineStr">
        <is>
          <t>存货/营收</t>
        </is>
      </c>
      <c r="B39" s="5" t="n">
        <v>0.37</v>
      </c>
      <c r="C39" s="5" t="n">
        <v>0.36</v>
      </c>
      <c r="D39" s="5" t="n">
        <v>0.355</v>
      </c>
      <c r="E39" s="2" t="inlineStr">
        <is>
          <t>2025A实际36.4%（基酒储备持续积累）</t>
        </is>
      </c>
    </row>
    <row r="40">
      <c r="A40" s="4" t="inlineStr">
        <is>
          <t>合同负债/营收</t>
        </is>
      </c>
      <c r="B40" s="5" t="n">
        <v>0.045</v>
      </c>
      <c r="C40" s="5" t="n">
        <v>0.047</v>
      </c>
      <c r="D40" s="5" t="n">
        <v>0.05</v>
      </c>
      <c r="E40" s="2" t="inlineStr">
        <is>
          <t>2025A实际4.74%（经销商打款意愿）</t>
        </is>
      </c>
    </row>
    <row r="41">
      <c r="A41" s="4" t="inlineStr">
        <is>
          <t>应收款项融资/营收</t>
        </is>
      </c>
      <c r="B41" s="5" t="n">
        <v>0.026</v>
      </c>
      <c r="C41" s="5" t="n">
        <v>0.026</v>
      </c>
      <c r="D41" s="5" t="n">
        <v>0.026</v>
      </c>
      <c r="E41" s="2" t="inlineStr">
        <is>
          <t>银行承兑汇票</t>
        </is>
      </c>
    </row>
    <row r="42">
      <c r="A42" s="4" t="inlineStr">
        <is>
          <t>其他经营性负债/营收</t>
        </is>
      </c>
      <c r="B42" s="5" t="n">
        <v>0.141</v>
      </c>
      <c r="C42" s="5" t="n">
        <v>0.141</v>
      </c>
      <c r="D42" s="5" t="n">
        <v>0.141</v>
      </c>
      <c r="E42" s="2" t="inlineStr">
        <is>
          <t>应付+职工薪酬+税费+其他应付等</t>
        </is>
      </c>
    </row>
    <row r="43">
      <c r="A43" s="4" t="inlineStr">
        <is>
          <t>盈余公积提取率（占归母净利）</t>
        </is>
      </c>
      <c r="B43" s="8" t="n">
        <v>0.0475</v>
      </c>
      <c r="C43" s="8" t="n">
        <v>0.0475</v>
      </c>
      <c r="D43" s="8" t="n">
        <v>0.0475</v>
      </c>
      <c r="E43" s="2" t="inlineStr">
        <is>
          <t>法定10%×母公司报表净利(约为归母47.5%)</t>
        </is>
      </c>
    </row>
    <row r="44">
      <c r="A44" s="4" t="inlineStr">
        <is>
          <t>折旧率（占期初固定资产原值）</t>
        </is>
      </c>
      <c r="B44" s="8" t="n">
        <v>0.047</v>
      </c>
      <c r="C44" s="8" t="n">
        <v>0.047</v>
      </c>
      <c r="D44" s="8" t="n">
        <v>0.047</v>
      </c>
      <c r="E44" s="2" t="inlineStr">
        <is>
          <t>2025年折旧18.15亿/原值391亿</t>
        </is>
      </c>
    </row>
    <row r="45">
      <c r="A45" s="4" t="inlineStr">
        <is>
          <t>其他摊销（亿/年）</t>
        </is>
      </c>
      <c r="B45" s="9" t="n">
        <v>4</v>
      </c>
      <c r="C45" s="9" t="n">
        <v>4</v>
      </c>
      <c r="D45" s="9" t="n">
        <v>4</v>
      </c>
      <c r="E45" s="2" t="inlineStr">
        <is>
          <t>无形资产+使用权+长期待销摊销估计</t>
        </is>
      </c>
    </row>
    <row r="46">
      <c r="A46" s="4" t="inlineStr">
        <is>
          <t>利息净收益率（占期初现金池）</t>
        </is>
      </c>
      <c r="B46" s="8" t="n">
        <v>0.0045</v>
      </c>
      <c r="C46" s="8" t="n">
        <v>0.0045</v>
      </c>
      <c r="D46" s="8" t="n">
        <v>0.0045</v>
      </c>
      <c r="E46" s="2" t="inlineStr">
        <is>
          <t>2025年利息净收益8.15亿/平均现金池</t>
        </is>
      </c>
    </row>
    <row r="47">
      <c r="A47" s="4" t="inlineStr">
        <is>
          <t>利息及其他收入（亿/年）</t>
        </is>
      </c>
      <c r="B47" s="9" t="n">
        <v>32.2</v>
      </c>
      <c r="C47" s="9" t="n">
        <v>32.2</v>
      </c>
      <c r="D47" s="9" t="n">
        <v>32.2</v>
      </c>
      <c r="E47" s="2" t="inlineStr">
        <is>
          <t>财务公司利息+其他业务, 2025A实际32.16</t>
        </is>
      </c>
    </row>
    <row r="48">
      <c r="A48" s="4" t="inlineStr">
        <is>
          <t>其他经营项目净额（亿/年）</t>
        </is>
      </c>
      <c r="B48" s="5" t="n">
        <v>1.2</v>
      </c>
      <c r="C48" s="5" t="n">
        <v>1.2</v>
      </c>
      <c r="D48" s="5" t="n">
        <v>1.2</v>
      </c>
      <c r="E48" s="2" t="inlineStr">
        <is>
          <t>其他收益+投资收益+公允价值+减值</t>
        </is>
      </c>
    </row>
    <row r="49">
      <c r="A49" s="4" t="inlineStr">
        <is>
          <t>营业外收支净额（亿/年）</t>
        </is>
      </c>
      <c r="B49" s="5" t="n">
        <v>-0.5</v>
      </c>
      <c r="C49" s="5" t="n">
        <v>-0.5</v>
      </c>
      <c r="D49" s="5" t="n">
        <v>-0.5</v>
      </c>
      <c r="E49" s="2" t="inlineStr">
        <is>
          <t>2025A实际-0.54</t>
        </is>
      </c>
    </row>
    <row r="50">
      <c r="A50" s="4" t="inlineStr">
        <is>
          <t>少数股东分红率</t>
        </is>
      </c>
      <c r="B50" s="8" t="n">
        <v>0.85</v>
      </c>
      <c r="C50" s="8" t="n">
        <v>0.85</v>
      </c>
      <c r="D50" s="8" t="n">
        <v>0.85</v>
      </c>
      <c r="E50" s="2" t="inlineStr">
        <is>
          <t>2025年子公司付少数股东25.7/少数损益29.9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>
      <c r="A1" s="1" t="inlineStr">
        <is>
          <t>利润表（合并口径）</t>
        </is>
      </c>
    </row>
    <row r="2">
      <c r="A2" s="2" t="inlineStr">
        <is>
          <t>单位: 人民币亿元 ｜ 历史=蓝字输入, 预测=公式（黑字本表/绿字跨表）</t>
        </is>
      </c>
    </row>
    <row r="3">
      <c r="B3" s="10" t="inlineStr">
        <is>
          <t>历史实际（AkShare/年报）</t>
        </is>
      </c>
      <c r="E3" s="10" t="inlineStr">
        <is>
          <t>悲观情景</t>
        </is>
      </c>
      <c r="J3" s="10" t="inlineStr">
        <is>
          <t>中性情景</t>
        </is>
      </c>
      <c r="O3" s="10" t="inlineStr">
        <is>
          <t>乐观情景</t>
        </is>
      </c>
    </row>
    <row r="4">
      <c r="B4" s="7" t="inlineStr">
        <is>
          <t>2023A</t>
        </is>
      </c>
      <c r="C4" s="7" t="inlineStr">
        <is>
          <t>2024A</t>
        </is>
      </c>
      <c r="D4" s="7" t="inlineStr">
        <is>
          <t>2025A</t>
        </is>
      </c>
      <c r="E4" s="7" t="inlineStr">
        <is>
          <t>2026E</t>
        </is>
      </c>
      <c r="F4" s="7" t="inlineStr">
        <is>
          <t>2027E</t>
        </is>
      </c>
      <c r="G4" s="7" t="inlineStr">
        <is>
          <t>2028E</t>
        </is>
      </c>
      <c r="H4" s="7" t="inlineStr">
        <is>
          <t>2029E</t>
        </is>
      </c>
      <c r="I4" s="7" t="inlineStr">
        <is>
          <t>2030E</t>
        </is>
      </c>
      <c r="J4" s="7" t="inlineStr">
        <is>
          <t>2026E</t>
        </is>
      </c>
      <c r="K4" s="7" t="inlineStr">
        <is>
          <t>2027E</t>
        </is>
      </c>
      <c r="L4" s="7" t="inlineStr">
        <is>
          <t>2028E</t>
        </is>
      </c>
      <c r="M4" s="7" t="inlineStr">
        <is>
          <t>2029E</t>
        </is>
      </c>
      <c r="N4" s="7" t="inlineStr">
        <is>
          <t>2030E</t>
        </is>
      </c>
      <c r="O4" s="7" t="inlineStr">
        <is>
          <t>2026E</t>
        </is>
      </c>
      <c r="P4" s="7" t="inlineStr">
        <is>
          <t>2027E</t>
        </is>
      </c>
      <c r="Q4" s="7" t="inlineStr">
        <is>
          <t>2028E</t>
        </is>
      </c>
      <c r="R4" s="7" t="inlineStr">
        <is>
          <t>2029E</t>
        </is>
      </c>
      <c r="S4" s="7" t="inlineStr">
        <is>
          <t>2030E</t>
        </is>
      </c>
    </row>
    <row r="6">
      <c r="A6" s="4" t="inlineStr">
        <is>
          <t>营业收入（酒类及其他主营）</t>
        </is>
      </c>
      <c r="B6" s="11" t="n">
        <v>1476.94</v>
      </c>
      <c r="C6" s="11" t="n">
        <v>1708.99</v>
      </c>
      <c r="D6" s="11" t="n">
        <v>1688.38</v>
      </c>
      <c r="E6" s="12">
        <f>D6*(1+假设与情景!$B$24)</f>
        <v/>
      </c>
      <c r="F6" s="12">
        <f>E6*(1+假设与情景!$B$25)</f>
        <v/>
      </c>
      <c r="G6" s="12">
        <f>F6*(1+假设与情景!$B$26)</f>
        <v/>
      </c>
      <c r="H6" s="12">
        <f>G6*(1+假设与情景!$B$27)</f>
        <v/>
      </c>
      <c r="I6" s="12">
        <f>H6*(1+假设与情景!$B$28)</f>
        <v/>
      </c>
      <c r="J6" s="12">
        <f>D6*(1+假设与情景!$C$24)</f>
        <v/>
      </c>
      <c r="K6" s="12">
        <f>J6*(1+假设与情景!$C$25)</f>
        <v/>
      </c>
      <c r="L6" s="12">
        <f>K6*(1+假设与情景!$C$26)</f>
        <v/>
      </c>
      <c r="M6" s="12">
        <f>L6*(1+假设与情景!$C$27)</f>
        <v/>
      </c>
      <c r="N6" s="12">
        <f>M6*(1+假设与情景!$C$28)</f>
        <v/>
      </c>
      <c r="O6" s="12">
        <f>D6*(1+假设与情景!$D$24)</f>
        <v/>
      </c>
      <c r="P6" s="12">
        <f>O6*(1+假设与情景!$D$25)</f>
        <v/>
      </c>
      <c r="Q6" s="12">
        <f>P6*(1+假设与情景!$D$26)</f>
        <v/>
      </c>
      <c r="R6" s="12">
        <f>Q6*(1+假设与情景!$D$27)</f>
        <v/>
      </c>
      <c r="S6" s="12">
        <f>R6*(1+假设与情景!$D$28)</f>
        <v/>
      </c>
    </row>
    <row r="7">
      <c r="A7" s="4" t="inlineStr">
        <is>
          <t>利息及其他收入（财务公司）</t>
        </is>
      </c>
      <c r="B7" s="11" t="n">
        <v>28.67</v>
      </c>
      <c r="C7" s="11" t="n">
        <v>32.45</v>
      </c>
      <c r="D7" s="11" t="n">
        <v>32.16</v>
      </c>
      <c r="E7" s="12">
        <f>假设与情景!$B$47</f>
        <v/>
      </c>
      <c r="F7" s="12">
        <f>假设与情景!$B$47</f>
        <v/>
      </c>
      <c r="G7" s="12">
        <f>假设与情景!$B$47</f>
        <v/>
      </c>
      <c r="H7" s="12">
        <f>假设与情景!$B$47</f>
        <v/>
      </c>
      <c r="I7" s="12">
        <f>假设与情景!$B$47</f>
        <v/>
      </c>
      <c r="J7" s="12">
        <f>假设与情景!$C$47</f>
        <v/>
      </c>
      <c r="K7" s="12">
        <f>假设与情景!$C$47</f>
        <v/>
      </c>
      <c r="L7" s="12">
        <f>假设与情景!$C$47</f>
        <v/>
      </c>
      <c r="M7" s="12">
        <f>假设与情景!$C$47</f>
        <v/>
      </c>
      <c r="N7" s="12">
        <f>假设与情景!$C$47</f>
        <v/>
      </c>
      <c r="O7" s="12">
        <f>假设与情景!$D$47</f>
        <v/>
      </c>
      <c r="P7" s="12">
        <f>假设与情景!$D$47</f>
        <v/>
      </c>
      <c r="Q7" s="12">
        <f>假设与情景!$D$47</f>
        <v/>
      </c>
      <c r="R7" s="12">
        <f>假设与情景!$D$47</f>
        <v/>
      </c>
      <c r="S7" s="12">
        <f>假设与情景!$D$47</f>
        <v/>
      </c>
    </row>
    <row r="8">
      <c r="A8" s="4" t="inlineStr">
        <is>
          <t>营业总收入</t>
        </is>
      </c>
      <c r="B8" s="13">
        <f>SUM(B6:B7)</f>
        <v/>
      </c>
      <c r="C8" s="13">
        <f>SUM(C6:C7)</f>
        <v/>
      </c>
      <c r="D8" s="13">
        <f>SUM(D6:D7)</f>
        <v/>
      </c>
      <c r="E8" s="13">
        <f>SUM(E6:E7)</f>
        <v/>
      </c>
      <c r="F8" s="13">
        <f>SUM(F6:F7)</f>
        <v/>
      </c>
      <c r="G8" s="13">
        <f>SUM(G6:G7)</f>
        <v/>
      </c>
      <c r="H8" s="13">
        <f>SUM(H6:H7)</f>
        <v/>
      </c>
      <c r="I8" s="13">
        <f>SUM(I6:I7)</f>
        <v/>
      </c>
      <c r="J8" s="13">
        <f>SUM(J6:J7)</f>
        <v/>
      </c>
      <c r="K8" s="13">
        <f>SUM(K6:K7)</f>
        <v/>
      </c>
      <c r="L8" s="13">
        <f>SUM(L6:L7)</f>
        <v/>
      </c>
      <c r="M8" s="13">
        <f>SUM(M6:M7)</f>
        <v/>
      </c>
      <c r="N8" s="13">
        <f>SUM(N6:N7)</f>
        <v/>
      </c>
      <c r="O8" s="13">
        <f>SUM(O6:O7)</f>
        <v/>
      </c>
      <c r="P8" s="13">
        <f>SUM(P6:P7)</f>
        <v/>
      </c>
      <c r="Q8" s="13">
        <f>SUM(Q6:Q7)</f>
        <v/>
      </c>
      <c r="R8" s="13">
        <f>SUM(R6:R7)</f>
        <v/>
      </c>
      <c r="S8" s="13">
        <f>SUM(S6:S7)</f>
        <v/>
      </c>
    </row>
    <row r="9">
      <c r="A9" s="4" t="inlineStr">
        <is>
          <t>营业成本</t>
        </is>
      </c>
      <c r="B9" s="11" t="n">
        <v>118.67</v>
      </c>
      <c r="C9" s="11" t="n">
        <v>137.89</v>
      </c>
      <c r="D9" s="11" t="n">
        <v>148.92</v>
      </c>
      <c r="E9" s="12">
        <f>E6*(1-假设与情景!$B$29)</f>
        <v/>
      </c>
      <c r="F9" s="12">
        <f>F6*(1-假设与情景!$B$29)</f>
        <v/>
      </c>
      <c r="G9" s="12">
        <f>G6*(1-假设与情景!$B$29)</f>
        <v/>
      </c>
      <c r="H9" s="12">
        <f>H6*(1-假设与情景!$B$29)</f>
        <v/>
      </c>
      <c r="I9" s="12">
        <f>I6*(1-假设与情景!$B$29)</f>
        <v/>
      </c>
      <c r="J9" s="12">
        <f>J6*(1-假设与情景!$C$29)</f>
        <v/>
      </c>
      <c r="K9" s="12">
        <f>K6*(1-假设与情景!$C$29)</f>
        <v/>
      </c>
      <c r="L9" s="12">
        <f>L6*(1-假设与情景!$C$29)</f>
        <v/>
      </c>
      <c r="M9" s="12">
        <f>M6*(1-假设与情景!$C$29)</f>
        <v/>
      </c>
      <c r="N9" s="12">
        <f>N6*(1-假设与情景!$C$29)</f>
        <v/>
      </c>
      <c r="O9" s="12">
        <f>O6*(1-假设与情景!$D$29)</f>
        <v/>
      </c>
      <c r="P9" s="12">
        <f>P6*(1-假设与情景!$D$29)</f>
        <v/>
      </c>
      <c r="Q9" s="12">
        <f>Q6*(1-假设与情景!$D$29)</f>
        <v/>
      </c>
      <c r="R9" s="12">
        <f>R6*(1-假设与情景!$D$29)</f>
        <v/>
      </c>
      <c r="S9" s="12">
        <f>S6*(1-假设与情景!$D$29)</f>
        <v/>
      </c>
    </row>
    <row r="10">
      <c r="A10" s="4" t="inlineStr">
        <is>
          <t>税金及附加</t>
        </is>
      </c>
      <c r="B10" s="11" t="n">
        <v>222.34</v>
      </c>
      <c r="C10" s="11" t="n">
        <v>269.26</v>
      </c>
      <c r="D10" s="11" t="n">
        <v>273.54</v>
      </c>
      <c r="E10" s="12">
        <f>E6*假设与情景!$B$30</f>
        <v/>
      </c>
      <c r="F10" s="12">
        <f>F6*假设与情景!$B$30</f>
        <v/>
      </c>
      <c r="G10" s="12">
        <f>G6*假设与情景!$B$30</f>
        <v/>
      </c>
      <c r="H10" s="12">
        <f>H6*假设与情景!$B$30</f>
        <v/>
      </c>
      <c r="I10" s="12">
        <f>I6*假设与情景!$B$30</f>
        <v/>
      </c>
      <c r="J10" s="12">
        <f>J6*假设与情景!$C$30</f>
        <v/>
      </c>
      <c r="K10" s="12">
        <f>K6*假设与情景!$C$30</f>
        <v/>
      </c>
      <c r="L10" s="12">
        <f>L6*假设与情景!$C$30</f>
        <v/>
      </c>
      <c r="M10" s="12">
        <f>M6*假设与情景!$C$30</f>
        <v/>
      </c>
      <c r="N10" s="12">
        <f>N6*假设与情景!$C$30</f>
        <v/>
      </c>
      <c r="O10" s="12">
        <f>O6*假设与情景!$D$30</f>
        <v/>
      </c>
      <c r="P10" s="12">
        <f>P6*假设与情景!$D$30</f>
        <v/>
      </c>
      <c r="Q10" s="12">
        <f>Q6*假设与情景!$D$30</f>
        <v/>
      </c>
      <c r="R10" s="12">
        <f>R6*假设与情景!$D$30</f>
        <v/>
      </c>
      <c r="S10" s="12">
        <f>S6*假设与情景!$D$30</f>
        <v/>
      </c>
    </row>
    <row r="11">
      <c r="A11" s="4" t="inlineStr">
        <is>
          <t>销售费用</t>
        </is>
      </c>
      <c r="B11" s="11" t="n">
        <v>46.49</v>
      </c>
      <c r="C11" s="11" t="n">
        <v>56.39</v>
      </c>
      <c r="D11" s="11" t="n">
        <v>72.53</v>
      </c>
      <c r="E11" s="12">
        <f>E6*假设与情景!$B$31</f>
        <v/>
      </c>
      <c r="F11" s="12">
        <f>F6*假设与情景!$B$31</f>
        <v/>
      </c>
      <c r="G11" s="12">
        <f>G6*假设与情景!$B$31</f>
        <v/>
      </c>
      <c r="H11" s="12">
        <f>H6*假设与情景!$B$31</f>
        <v/>
      </c>
      <c r="I11" s="12">
        <f>I6*假设与情景!$B$31</f>
        <v/>
      </c>
      <c r="J11" s="12">
        <f>J6*假设与情景!$C$31</f>
        <v/>
      </c>
      <c r="K11" s="12">
        <f>K6*假设与情景!$C$31</f>
        <v/>
      </c>
      <c r="L11" s="12">
        <f>L6*假设与情景!$C$31</f>
        <v/>
      </c>
      <c r="M11" s="12">
        <f>M6*假设与情景!$C$31</f>
        <v/>
      </c>
      <c r="N11" s="12">
        <f>N6*假设与情景!$C$31</f>
        <v/>
      </c>
      <c r="O11" s="12">
        <f>O6*假设与情景!$D$31</f>
        <v/>
      </c>
      <c r="P11" s="12">
        <f>P6*假设与情景!$D$31</f>
        <v/>
      </c>
      <c r="Q11" s="12">
        <f>Q6*假设与情景!$D$31</f>
        <v/>
      </c>
      <c r="R11" s="12">
        <f>R6*假设与情景!$D$31</f>
        <v/>
      </c>
      <c r="S11" s="12">
        <f>S6*假设与情景!$D$31</f>
        <v/>
      </c>
    </row>
    <row r="12">
      <c r="A12" s="4" t="inlineStr">
        <is>
          <t>管理费用</t>
        </is>
      </c>
      <c r="B12" s="11" t="n">
        <v>97.29000000000001</v>
      </c>
      <c r="C12" s="11" t="n">
        <v>93.16</v>
      </c>
      <c r="D12" s="11" t="n">
        <v>83.2</v>
      </c>
      <c r="E12" s="12">
        <f>E6*假设与情景!$B$32</f>
        <v/>
      </c>
      <c r="F12" s="12">
        <f>F6*假设与情景!$B$32</f>
        <v/>
      </c>
      <c r="G12" s="12">
        <f>G6*假设与情景!$B$32</f>
        <v/>
      </c>
      <c r="H12" s="12">
        <f>H6*假设与情景!$B$32</f>
        <v/>
      </c>
      <c r="I12" s="12">
        <f>I6*假设与情景!$B$32</f>
        <v/>
      </c>
      <c r="J12" s="12">
        <f>J6*假设与情景!$C$32</f>
        <v/>
      </c>
      <c r="K12" s="12">
        <f>K6*假设与情景!$C$32</f>
        <v/>
      </c>
      <c r="L12" s="12">
        <f>L6*假设与情景!$C$32</f>
        <v/>
      </c>
      <c r="M12" s="12">
        <f>M6*假设与情景!$C$32</f>
        <v/>
      </c>
      <c r="N12" s="12">
        <f>N6*假设与情景!$C$32</f>
        <v/>
      </c>
      <c r="O12" s="12">
        <f>O6*假设与情景!$D$32</f>
        <v/>
      </c>
      <c r="P12" s="12">
        <f>P6*假设与情景!$D$32</f>
        <v/>
      </c>
      <c r="Q12" s="12">
        <f>Q6*假设与情景!$D$32</f>
        <v/>
      </c>
      <c r="R12" s="12">
        <f>R6*假设与情景!$D$32</f>
        <v/>
      </c>
      <c r="S12" s="12">
        <f>S6*假设与情景!$D$32</f>
        <v/>
      </c>
    </row>
    <row r="13">
      <c r="A13" s="4" t="inlineStr">
        <is>
          <t>研发费用</t>
        </is>
      </c>
      <c r="B13" s="11" t="n">
        <v>1.57</v>
      </c>
      <c r="C13" s="11" t="n">
        <v>2.18</v>
      </c>
      <c r="D13" s="11" t="n">
        <v>1.9</v>
      </c>
      <c r="E13" s="12">
        <f>E6*假设与情景!$B$33</f>
        <v/>
      </c>
      <c r="F13" s="12">
        <f>F6*假设与情景!$B$33</f>
        <v/>
      </c>
      <c r="G13" s="12">
        <f>G6*假设与情景!$B$33</f>
        <v/>
      </c>
      <c r="H13" s="12">
        <f>H6*假设与情景!$B$33</f>
        <v/>
      </c>
      <c r="I13" s="12">
        <f>I6*假设与情景!$B$33</f>
        <v/>
      </c>
      <c r="J13" s="12">
        <f>J6*假设与情景!$C$33</f>
        <v/>
      </c>
      <c r="K13" s="12">
        <f>K6*假设与情景!$C$33</f>
        <v/>
      </c>
      <c r="L13" s="12">
        <f>L6*假设与情景!$C$33</f>
        <v/>
      </c>
      <c r="M13" s="12">
        <f>M6*假设与情景!$C$33</f>
        <v/>
      </c>
      <c r="N13" s="12">
        <f>N6*假设与情景!$C$33</f>
        <v/>
      </c>
      <c r="O13" s="12">
        <f>O6*假设与情景!$D$33</f>
        <v/>
      </c>
      <c r="P13" s="12">
        <f>P6*假设与情景!$D$33</f>
        <v/>
      </c>
      <c r="Q13" s="12">
        <f>Q6*假设与情景!$D$33</f>
        <v/>
      </c>
      <c r="R13" s="12">
        <f>R6*假设与情景!$D$33</f>
        <v/>
      </c>
      <c r="S13" s="12">
        <f>S6*假设与情景!$D$33</f>
        <v/>
      </c>
    </row>
    <row r="14">
      <c r="A14" s="4" t="inlineStr">
        <is>
          <t>财务费用（负=利息净收益）</t>
        </is>
      </c>
      <c r="B14" s="11" t="n">
        <v>-17.9</v>
      </c>
      <c r="C14" s="11" t="n">
        <v>-14.7</v>
      </c>
      <c r="D14" s="11" t="n">
        <v>-8.15</v>
      </c>
      <c r="E14" s="12">
        <f>-假设与情景!$B$46*资产负债表!D6</f>
        <v/>
      </c>
      <c r="F14" s="12">
        <f>-假设与情景!$B$46*资产负债表!E6</f>
        <v/>
      </c>
      <c r="G14" s="12">
        <f>-假设与情景!$B$46*资产负债表!F6</f>
        <v/>
      </c>
      <c r="H14" s="12">
        <f>-假设与情景!$B$46*资产负债表!G6</f>
        <v/>
      </c>
      <c r="I14" s="12">
        <f>-假设与情景!$B$46*资产负债表!H6</f>
        <v/>
      </c>
      <c r="J14" s="12">
        <f>-假设与情景!$C$46*资产负债表!D6</f>
        <v/>
      </c>
      <c r="K14" s="12">
        <f>-假设与情景!$C$46*资产负债表!J6</f>
        <v/>
      </c>
      <c r="L14" s="12">
        <f>-假设与情景!$C$46*资产负债表!K6</f>
        <v/>
      </c>
      <c r="M14" s="12">
        <f>-假设与情景!$C$46*资产负债表!L6</f>
        <v/>
      </c>
      <c r="N14" s="12">
        <f>-假设与情景!$C$46*资产负债表!M6</f>
        <v/>
      </c>
      <c r="O14" s="12">
        <f>-假设与情景!$D$46*资产负债表!D6</f>
        <v/>
      </c>
      <c r="P14" s="12">
        <f>-假设与情景!$D$46*资产负债表!O6</f>
        <v/>
      </c>
      <c r="Q14" s="12">
        <f>-假设与情景!$D$46*资产负债表!P6</f>
        <v/>
      </c>
      <c r="R14" s="12">
        <f>-假设与情景!$D$46*资产负债表!Q6</f>
        <v/>
      </c>
      <c r="S14" s="12">
        <f>-假设与情景!$D$46*资产负债表!R6</f>
        <v/>
      </c>
    </row>
    <row r="15">
      <c r="A15" s="4" t="inlineStr">
        <is>
          <t>其他经营项目净额</t>
        </is>
      </c>
      <c r="B15" s="11" t="n">
        <v>1.09</v>
      </c>
      <c r="C15" s="11" t="n">
        <v>0.68</v>
      </c>
      <c r="D15" s="11" t="n">
        <v>1.26</v>
      </c>
      <c r="E15" s="12">
        <f>假设与情景!$B$48</f>
        <v/>
      </c>
      <c r="F15" s="12">
        <f>假设与情景!$B$48</f>
        <v/>
      </c>
      <c r="G15" s="12">
        <f>假设与情景!$B$48</f>
        <v/>
      </c>
      <c r="H15" s="12">
        <f>假设与情景!$B$48</f>
        <v/>
      </c>
      <c r="I15" s="12">
        <f>假设与情景!$B$48</f>
        <v/>
      </c>
      <c r="J15" s="12">
        <f>假设与情景!$C$48</f>
        <v/>
      </c>
      <c r="K15" s="12">
        <f>假设与情景!$C$48</f>
        <v/>
      </c>
      <c r="L15" s="12">
        <f>假设与情景!$C$48</f>
        <v/>
      </c>
      <c r="M15" s="12">
        <f>假设与情景!$C$48</f>
        <v/>
      </c>
      <c r="N15" s="12">
        <f>假设与情景!$C$48</f>
        <v/>
      </c>
      <c r="O15" s="12">
        <f>假设与情景!$D$48</f>
        <v/>
      </c>
      <c r="P15" s="12">
        <f>假设与情景!$D$48</f>
        <v/>
      </c>
      <c r="Q15" s="12">
        <f>假设与情景!$D$48</f>
        <v/>
      </c>
      <c r="R15" s="12">
        <f>假设与情景!$D$48</f>
        <v/>
      </c>
      <c r="S15" s="12">
        <f>假设与情景!$D$48</f>
        <v/>
      </c>
    </row>
    <row r="16">
      <c r="A16" s="4" t="inlineStr">
        <is>
          <t>营业利润</t>
        </is>
      </c>
      <c r="B16" s="11" t="n">
        <v>1037.09</v>
      </c>
      <c r="C16" s="11" t="n">
        <v>1196.89</v>
      </c>
      <c r="D16" s="11" t="n">
        <v>1148.09</v>
      </c>
      <c r="E16" s="13">
        <f>E8-E9-E10-E11-E12-E13-E14+E15</f>
        <v/>
      </c>
      <c r="F16" s="13">
        <f>F8-F9-F10-F11-F12-F13-F14+F15</f>
        <v/>
      </c>
      <c r="G16" s="13">
        <f>G8-G9-G10-G11-G12-G13-G14+G15</f>
        <v/>
      </c>
      <c r="H16" s="13">
        <f>H8-H9-H10-H11-H12-H13-H14+H15</f>
        <v/>
      </c>
      <c r="I16" s="13">
        <f>I8-I9-I10-I11-I12-I13-I14+I15</f>
        <v/>
      </c>
      <c r="J16" s="13">
        <f>J8-J9-J10-J11-J12-J13-J14+J15</f>
        <v/>
      </c>
      <c r="K16" s="13">
        <f>K8-K9-K10-K11-K12-K13-K14+K15</f>
        <v/>
      </c>
      <c r="L16" s="13">
        <f>L8-L9-L10-L11-L12-L13-L14+L15</f>
        <v/>
      </c>
      <c r="M16" s="13">
        <f>M8-M9-M10-M11-M12-M13-M14+M15</f>
        <v/>
      </c>
      <c r="N16" s="13">
        <f>N8-N9-N10-N11-N12-N13-N14+N15</f>
        <v/>
      </c>
      <c r="O16" s="13">
        <f>O8-O9-O10-O11-O12-O13-O14+O15</f>
        <v/>
      </c>
      <c r="P16" s="13">
        <f>P8-P9-P10-P11-P12-P13-P14+P15</f>
        <v/>
      </c>
      <c r="Q16" s="13">
        <f>Q8-Q9-Q10-Q11-Q12-Q13-Q14+Q15</f>
        <v/>
      </c>
      <c r="R16" s="13">
        <f>R8-R9-R10-R11-R12-R13-R14+R15</f>
        <v/>
      </c>
      <c r="S16" s="13">
        <f>S8-S9-S10-S11-S12-S13-S14+S15</f>
        <v/>
      </c>
    </row>
    <row r="17">
      <c r="A17" s="4" t="inlineStr">
        <is>
          <t>营业外收支净额</t>
        </is>
      </c>
      <c r="B17" s="11" t="n">
        <v>-0.46</v>
      </c>
      <c r="C17" s="11" t="n">
        <v>-0.5</v>
      </c>
      <c r="D17" s="11" t="n">
        <v>-0.54</v>
      </c>
      <c r="E17" s="12">
        <f>假设与情景!$B$49</f>
        <v/>
      </c>
      <c r="F17" s="12">
        <f>假设与情景!$B$49</f>
        <v/>
      </c>
      <c r="G17" s="12">
        <f>假设与情景!$B$49</f>
        <v/>
      </c>
      <c r="H17" s="12">
        <f>假设与情景!$B$49</f>
        <v/>
      </c>
      <c r="I17" s="12">
        <f>假设与情景!$B$49</f>
        <v/>
      </c>
      <c r="J17" s="12">
        <f>假设与情景!$C$49</f>
        <v/>
      </c>
      <c r="K17" s="12">
        <f>假设与情景!$C$49</f>
        <v/>
      </c>
      <c r="L17" s="12">
        <f>假设与情景!$C$49</f>
        <v/>
      </c>
      <c r="M17" s="12">
        <f>假设与情景!$C$49</f>
        <v/>
      </c>
      <c r="N17" s="12">
        <f>假设与情景!$C$49</f>
        <v/>
      </c>
      <c r="O17" s="12">
        <f>假设与情景!$D$49</f>
        <v/>
      </c>
      <c r="P17" s="12">
        <f>假设与情景!$D$49</f>
        <v/>
      </c>
      <c r="Q17" s="12">
        <f>假设与情景!$D$49</f>
        <v/>
      </c>
      <c r="R17" s="12">
        <f>假设与情景!$D$49</f>
        <v/>
      </c>
      <c r="S17" s="12">
        <f>假设与情景!$D$49</f>
        <v/>
      </c>
    </row>
    <row r="18">
      <c r="A18" s="4" t="inlineStr">
        <is>
          <t>利润总额</t>
        </is>
      </c>
      <c r="B18" s="11" t="n">
        <v>1036.63</v>
      </c>
      <c r="C18" s="11" t="n">
        <v>1196.39</v>
      </c>
      <c r="D18" s="11" t="n">
        <v>1147.55</v>
      </c>
      <c r="E18" s="13">
        <f>E16+E17</f>
        <v/>
      </c>
      <c r="F18" s="13">
        <f>F16+F17</f>
        <v/>
      </c>
      <c r="G18" s="13">
        <f>G16+G17</f>
        <v/>
      </c>
      <c r="H18" s="13">
        <f>H16+H17</f>
        <v/>
      </c>
      <c r="I18" s="13">
        <f>I16+I17</f>
        <v/>
      </c>
      <c r="J18" s="13">
        <f>J16+J17</f>
        <v/>
      </c>
      <c r="K18" s="13">
        <f>K16+K17</f>
        <v/>
      </c>
      <c r="L18" s="13">
        <f>L16+L17</f>
        <v/>
      </c>
      <c r="M18" s="13">
        <f>M16+M17</f>
        <v/>
      </c>
      <c r="N18" s="13">
        <f>N16+N17</f>
        <v/>
      </c>
      <c r="O18" s="13">
        <f>O16+O17</f>
        <v/>
      </c>
      <c r="P18" s="13">
        <f>P16+P17</f>
        <v/>
      </c>
      <c r="Q18" s="13">
        <f>Q16+Q17</f>
        <v/>
      </c>
      <c r="R18" s="13">
        <f>R16+R17</f>
        <v/>
      </c>
      <c r="S18" s="13">
        <f>S16+S17</f>
        <v/>
      </c>
    </row>
    <row r="19">
      <c r="A19" s="4" t="inlineStr">
        <is>
          <t>所得税费用</t>
        </is>
      </c>
      <c r="B19" s="11" t="n">
        <v>261.41</v>
      </c>
      <c r="C19" s="11" t="n">
        <v>303.04</v>
      </c>
      <c r="D19" s="11" t="n">
        <v>294.45</v>
      </c>
      <c r="E19" s="12">
        <f>E18*假设与情景!$B$34</f>
        <v/>
      </c>
      <c r="F19" s="12">
        <f>F18*假设与情景!$B$34</f>
        <v/>
      </c>
      <c r="G19" s="12">
        <f>G18*假设与情景!$B$34</f>
        <v/>
      </c>
      <c r="H19" s="12">
        <f>H18*假设与情景!$B$34</f>
        <v/>
      </c>
      <c r="I19" s="12">
        <f>I18*假设与情景!$B$34</f>
        <v/>
      </c>
      <c r="J19" s="12">
        <f>J18*假设与情景!$C$34</f>
        <v/>
      </c>
      <c r="K19" s="12">
        <f>K18*假设与情景!$C$34</f>
        <v/>
      </c>
      <c r="L19" s="12">
        <f>L18*假设与情景!$C$34</f>
        <v/>
      </c>
      <c r="M19" s="12">
        <f>M18*假设与情景!$C$34</f>
        <v/>
      </c>
      <c r="N19" s="12">
        <f>N18*假设与情景!$C$34</f>
        <v/>
      </c>
      <c r="O19" s="12">
        <f>O18*假设与情景!$D$34</f>
        <v/>
      </c>
      <c r="P19" s="12">
        <f>P18*假设与情景!$D$34</f>
        <v/>
      </c>
      <c r="Q19" s="12">
        <f>Q18*假设与情景!$D$34</f>
        <v/>
      </c>
      <c r="R19" s="12">
        <f>R18*假设与情景!$D$34</f>
        <v/>
      </c>
      <c r="S19" s="12">
        <f>S18*假设与情景!$D$34</f>
        <v/>
      </c>
    </row>
    <row r="20">
      <c r="A20" s="4" t="inlineStr">
        <is>
          <t>净利润</t>
        </is>
      </c>
      <c r="B20" s="11" t="n">
        <v>775.21</v>
      </c>
      <c r="C20" s="11" t="n">
        <v>893.35</v>
      </c>
      <c r="D20" s="11" t="n">
        <v>853.1</v>
      </c>
      <c r="E20" s="13">
        <f>E18-E19</f>
        <v/>
      </c>
      <c r="F20" s="13">
        <f>F18-F19</f>
        <v/>
      </c>
      <c r="G20" s="13">
        <f>G18-G19</f>
        <v/>
      </c>
      <c r="H20" s="13">
        <f>H18-H19</f>
        <v/>
      </c>
      <c r="I20" s="13">
        <f>I18-I19</f>
        <v/>
      </c>
      <c r="J20" s="13">
        <f>J18-J19</f>
        <v/>
      </c>
      <c r="K20" s="13">
        <f>K18-K19</f>
        <v/>
      </c>
      <c r="L20" s="13">
        <f>L18-L19</f>
        <v/>
      </c>
      <c r="M20" s="13">
        <f>M18-M19</f>
        <v/>
      </c>
      <c r="N20" s="13">
        <f>N18-N19</f>
        <v/>
      </c>
      <c r="O20" s="13">
        <f>O18-O19</f>
        <v/>
      </c>
      <c r="P20" s="13">
        <f>P18-P19</f>
        <v/>
      </c>
      <c r="Q20" s="13">
        <f>Q18-Q19</f>
        <v/>
      </c>
      <c r="R20" s="13">
        <f>R18-R19</f>
        <v/>
      </c>
      <c r="S20" s="13">
        <f>S18-S19</f>
        <v/>
      </c>
    </row>
    <row r="21">
      <c r="A21" s="4" t="inlineStr">
        <is>
          <t>少数股东损益</t>
        </is>
      </c>
      <c r="B21" s="11" t="n">
        <v>27.87</v>
      </c>
      <c r="C21" s="11" t="n">
        <v>31.07</v>
      </c>
      <c r="D21" s="11" t="n">
        <v>29.9</v>
      </c>
      <c r="E21" s="12">
        <f>E20*假设与情景!$B$35</f>
        <v/>
      </c>
      <c r="F21" s="12">
        <f>F20*假设与情景!$B$35</f>
        <v/>
      </c>
      <c r="G21" s="12">
        <f>G20*假设与情景!$B$35</f>
        <v/>
      </c>
      <c r="H21" s="12">
        <f>H20*假设与情景!$B$35</f>
        <v/>
      </c>
      <c r="I21" s="12">
        <f>I20*假设与情景!$B$35</f>
        <v/>
      </c>
      <c r="J21" s="12">
        <f>J20*假设与情景!$C$35</f>
        <v/>
      </c>
      <c r="K21" s="12">
        <f>K20*假设与情景!$C$35</f>
        <v/>
      </c>
      <c r="L21" s="12">
        <f>L20*假设与情景!$C$35</f>
        <v/>
      </c>
      <c r="M21" s="12">
        <f>M20*假设与情景!$C$35</f>
        <v/>
      </c>
      <c r="N21" s="12">
        <f>N20*假设与情景!$C$35</f>
        <v/>
      </c>
      <c r="O21" s="12">
        <f>O20*假设与情景!$D$35</f>
        <v/>
      </c>
      <c r="P21" s="12">
        <f>P20*假设与情景!$D$35</f>
        <v/>
      </c>
      <c r="Q21" s="12">
        <f>Q20*假设与情景!$D$35</f>
        <v/>
      </c>
      <c r="R21" s="12">
        <f>R20*假设与情景!$D$35</f>
        <v/>
      </c>
      <c r="S21" s="12">
        <f>S20*假设与情景!$D$35</f>
        <v/>
      </c>
    </row>
    <row r="22">
      <c r="A22" s="4" t="inlineStr">
        <is>
          <t>归属于母公司股东的净利润</t>
        </is>
      </c>
      <c r="B22" s="11" t="n">
        <v>747.34</v>
      </c>
      <c r="C22" s="11" t="n">
        <v>862.28</v>
      </c>
      <c r="D22" s="11" t="n">
        <v>823.2</v>
      </c>
      <c r="E22" s="13">
        <f>E20-E21</f>
        <v/>
      </c>
      <c r="F22" s="13">
        <f>F20-F21</f>
        <v/>
      </c>
      <c r="G22" s="13">
        <f>G20-G21</f>
        <v/>
      </c>
      <c r="H22" s="13">
        <f>H20-H21</f>
        <v/>
      </c>
      <c r="I22" s="13">
        <f>I20-I21</f>
        <v/>
      </c>
      <c r="J22" s="13">
        <f>J20-J21</f>
        <v/>
      </c>
      <c r="K22" s="13">
        <f>K20-K21</f>
        <v/>
      </c>
      <c r="L22" s="13">
        <f>L20-L21</f>
        <v/>
      </c>
      <c r="M22" s="13">
        <f>M20-M21</f>
        <v/>
      </c>
      <c r="N22" s="13">
        <f>N20-N21</f>
        <v/>
      </c>
      <c r="O22" s="13">
        <f>O20-O21</f>
        <v/>
      </c>
      <c r="P22" s="13">
        <f>P20-P21</f>
        <v/>
      </c>
      <c r="Q22" s="13">
        <f>Q20-Q21</f>
        <v/>
      </c>
      <c r="R22" s="13">
        <f>R20-R21</f>
        <v/>
      </c>
      <c r="S22" s="13">
        <f>S20-S21</f>
        <v/>
      </c>
    </row>
    <row r="23">
      <c r="A23" s="4" t="inlineStr">
        <is>
          <t>EPS（元）</t>
        </is>
      </c>
      <c r="B23" s="14">
        <f>B22/假设与情景!$B$6</f>
        <v/>
      </c>
      <c r="C23" s="14">
        <f>C22/假设与情景!$B$6</f>
        <v/>
      </c>
      <c r="D23" s="14">
        <f>D22/假设与情景!$B$6</f>
        <v/>
      </c>
      <c r="E23" s="14">
        <f>E22/假设与情景!$B$6</f>
        <v/>
      </c>
      <c r="F23" s="14">
        <f>F22/假设与情景!$B$6</f>
        <v/>
      </c>
      <c r="G23" s="14">
        <f>G22/假设与情景!$B$6</f>
        <v/>
      </c>
      <c r="H23" s="14">
        <f>H22/假设与情景!$B$6</f>
        <v/>
      </c>
      <c r="I23" s="14">
        <f>I22/假设与情景!$B$6</f>
        <v/>
      </c>
      <c r="J23" s="14">
        <f>J22/假设与情景!$B$6</f>
        <v/>
      </c>
      <c r="K23" s="14">
        <f>K22/假设与情景!$B$6</f>
        <v/>
      </c>
      <c r="L23" s="14">
        <f>L22/假设与情景!$B$6</f>
        <v/>
      </c>
      <c r="M23" s="14">
        <f>M22/假设与情景!$B$6</f>
        <v/>
      </c>
      <c r="N23" s="14">
        <f>N22/假设与情景!$B$6</f>
        <v/>
      </c>
      <c r="O23" s="14">
        <f>O22/假设与情景!$B$6</f>
        <v/>
      </c>
      <c r="P23" s="14">
        <f>P22/假设与情景!$B$6</f>
        <v/>
      </c>
      <c r="Q23" s="14">
        <f>Q22/假设与情景!$B$6</f>
        <v/>
      </c>
      <c r="R23" s="14">
        <f>R22/假设与情景!$B$6</f>
        <v/>
      </c>
      <c r="S23" s="14">
        <f>S22/假设与情景!$B$6</f>
        <v/>
      </c>
    </row>
    <row r="24">
      <c r="A24" s="4" t="inlineStr">
        <is>
          <t>毛利率</t>
        </is>
      </c>
      <c r="B24" s="15">
        <f>1-B9/B6</f>
        <v/>
      </c>
      <c r="C24" s="15">
        <f>1-C9/C6</f>
        <v/>
      </c>
      <c r="D24" s="15">
        <f>1-D9/D6</f>
        <v/>
      </c>
      <c r="E24" s="15">
        <f>1-E9/E6</f>
        <v/>
      </c>
      <c r="F24" s="15">
        <f>1-F9/F6</f>
        <v/>
      </c>
      <c r="G24" s="15">
        <f>1-G9/G6</f>
        <v/>
      </c>
      <c r="H24" s="15">
        <f>1-H9/H6</f>
        <v/>
      </c>
      <c r="I24" s="15">
        <f>1-I9/I6</f>
        <v/>
      </c>
      <c r="J24" s="15">
        <f>1-J9/J6</f>
        <v/>
      </c>
      <c r="K24" s="15">
        <f>1-K9/K6</f>
        <v/>
      </c>
      <c r="L24" s="15">
        <f>1-L9/L6</f>
        <v/>
      </c>
      <c r="M24" s="15">
        <f>1-M9/M6</f>
        <v/>
      </c>
      <c r="N24" s="15">
        <f>1-N9/N6</f>
        <v/>
      </c>
      <c r="O24" s="15">
        <f>1-O9/O6</f>
        <v/>
      </c>
      <c r="P24" s="15">
        <f>1-P9/P6</f>
        <v/>
      </c>
      <c r="Q24" s="15">
        <f>1-Q9/Q6</f>
        <v/>
      </c>
      <c r="R24" s="15">
        <f>1-R9/R6</f>
        <v/>
      </c>
      <c r="S24" s="15">
        <f>1-S9/S6</f>
        <v/>
      </c>
    </row>
    <row r="25">
      <c r="A25" s="4" t="inlineStr">
        <is>
          <t>归母净利率</t>
        </is>
      </c>
      <c r="B25" s="15">
        <f>B22/B6</f>
        <v/>
      </c>
      <c r="C25" s="15">
        <f>C22/C6</f>
        <v/>
      </c>
      <c r="D25" s="15">
        <f>D22/D6</f>
        <v/>
      </c>
      <c r="E25" s="15">
        <f>E22/E6</f>
        <v/>
      </c>
      <c r="F25" s="15">
        <f>F22/F6</f>
        <v/>
      </c>
      <c r="G25" s="15">
        <f>G22/G6</f>
        <v/>
      </c>
      <c r="H25" s="15">
        <f>H22/H6</f>
        <v/>
      </c>
      <c r="I25" s="15">
        <f>I22/I6</f>
        <v/>
      </c>
      <c r="J25" s="15">
        <f>J22/J6</f>
        <v/>
      </c>
      <c r="K25" s="15">
        <f>K22/K6</f>
        <v/>
      </c>
      <c r="L25" s="15">
        <f>L22/L6</f>
        <v/>
      </c>
      <c r="M25" s="15">
        <f>M22/M6</f>
        <v/>
      </c>
      <c r="N25" s="15">
        <f>N22/N6</f>
        <v/>
      </c>
      <c r="O25" s="15">
        <f>O22/O6</f>
        <v/>
      </c>
      <c r="P25" s="15">
        <f>P22/P6</f>
        <v/>
      </c>
      <c r="Q25" s="15">
        <f>Q22/Q6</f>
        <v/>
      </c>
      <c r="R25" s="15">
        <f>R22/R6</f>
        <v/>
      </c>
      <c r="S25" s="15">
        <f>S22/S6</f>
        <v/>
      </c>
    </row>
    <row r="26">
      <c r="A26" s="4" t="inlineStr">
        <is>
          <t>营收增速</t>
        </is>
      </c>
      <c r="B26" s="16" t="n">
        <v>0.19</v>
      </c>
      <c r="C26" s="15">
        <f>C6/B6-1</f>
        <v/>
      </c>
      <c r="D26" s="15">
        <f>D6/C6-1</f>
        <v/>
      </c>
      <c r="E26" s="15">
        <f>E6/D6-1</f>
        <v/>
      </c>
      <c r="F26" s="15">
        <f>F6/E6-1</f>
        <v/>
      </c>
      <c r="G26" s="15">
        <f>G6/F6-1</f>
        <v/>
      </c>
      <c r="H26" s="15">
        <f>H6/G6-1</f>
        <v/>
      </c>
      <c r="I26" s="15">
        <f>I6/H6-1</f>
        <v/>
      </c>
      <c r="J26" s="15">
        <f>J6/D6-1</f>
        <v/>
      </c>
      <c r="K26" s="15">
        <f>K6/J6-1</f>
        <v/>
      </c>
      <c r="L26" s="15">
        <f>L6/K6-1</f>
        <v/>
      </c>
      <c r="M26" s="15">
        <f>M6/L6-1</f>
        <v/>
      </c>
      <c r="N26" s="15">
        <f>N6/M6-1</f>
        <v/>
      </c>
      <c r="O26" s="15">
        <f>O6/D6-1</f>
        <v/>
      </c>
      <c r="P26" s="15">
        <f>P6/O6-1</f>
        <v/>
      </c>
      <c r="Q26" s="15">
        <f>Q6/P6-1</f>
        <v/>
      </c>
      <c r="R26" s="15">
        <f>R6/Q6-1</f>
        <v/>
      </c>
      <c r="S26" s="15">
        <f>S6/R6-1</f>
        <v/>
      </c>
    </row>
  </sheetData>
  <mergeCells count="4">
    <mergeCell ref="E3:I3"/>
    <mergeCell ref="B3:D3"/>
    <mergeCell ref="J3:N3"/>
    <mergeCell ref="O3:S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>
      <c r="A1" s="1" t="inlineStr">
        <is>
          <t>资产负债表（期末值）</t>
        </is>
      </c>
    </row>
    <row r="2">
      <c r="A2" s="2" t="inlineStr">
        <is>
          <t>单位: 人民币亿元 ｜ 现金池=CF期末现金（跨表联动）；固定资产/未分配利润滚动</t>
        </is>
      </c>
    </row>
    <row r="3">
      <c r="B3" s="10" t="inlineStr">
        <is>
          <t>历史实际（AkShare/年报）</t>
        </is>
      </c>
      <c r="E3" s="10" t="inlineStr">
        <is>
          <t>悲观情景</t>
        </is>
      </c>
      <c r="J3" s="10" t="inlineStr">
        <is>
          <t>中性情景</t>
        </is>
      </c>
      <c r="O3" s="10" t="inlineStr">
        <is>
          <t>乐观情景</t>
        </is>
      </c>
    </row>
    <row r="4">
      <c r="B4" s="7" t="inlineStr">
        <is>
          <t>2023A</t>
        </is>
      </c>
      <c r="C4" s="7" t="inlineStr">
        <is>
          <t>2024A</t>
        </is>
      </c>
      <c r="D4" s="7" t="inlineStr">
        <is>
          <t>2025A</t>
        </is>
      </c>
      <c r="E4" s="7" t="inlineStr">
        <is>
          <t>2026E</t>
        </is>
      </c>
      <c r="F4" s="7" t="inlineStr">
        <is>
          <t>2027E</t>
        </is>
      </c>
      <c r="G4" s="7" t="inlineStr">
        <is>
          <t>2028E</t>
        </is>
      </c>
      <c r="H4" s="7" t="inlineStr">
        <is>
          <t>2029E</t>
        </is>
      </c>
      <c r="I4" s="7" t="inlineStr">
        <is>
          <t>2030E</t>
        </is>
      </c>
      <c r="J4" s="7" t="inlineStr">
        <is>
          <t>2026E</t>
        </is>
      </c>
      <c r="K4" s="7" t="inlineStr">
        <is>
          <t>2027E</t>
        </is>
      </c>
      <c r="L4" s="7" t="inlineStr">
        <is>
          <t>2028E</t>
        </is>
      </c>
      <c r="M4" s="7" t="inlineStr">
        <is>
          <t>2029E</t>
        </is>
      </c>
      <c r="N4" s="7" t="inlineStr">
        <is>
          <t>2030E</t>
        </is>
      </c>
      <c r="O4" s="7" t="inlineStr">
        <is>
          <t>2026E</t>
        </is>
      </c>
      <c r="P4" s="7" t="inlineStr">
        <is>
          <t>2027E</t>
        </is>
      </c>
      <c r="Q4" s="7" t="inlineStr">
        <is>
          <t>2028E</t>
        </is>
      </c>
      <c r="R4" s="7" t="inlineStr">
        <is>
          <t>2029E</t>
        </is>
      </c>
      <c r="S4" s="7" t="inlineStr">
        <is>
          <t>2030E</t>
        </is>
      </c>
    </row>
    <row r="6">
      <c r="A6" s="4" t="inlineStr">
        <is>
          <t>现金类资产池（货币资金+拆出+买入返售+债权投资等）</t>
        </is>
      </c>
      <c r="B6" s="11" t="n">
        <v>1834.52</v>
      </c>
      <c r="C6" s="11" t="n">
        <v>1964.3</v>
      </c>
      <c r="D6" s="11" t="n">
        <v>1911.47</v>
      </c>
      <c r="E6" s="12">
        <f>现金流量表!E24</f>
        <v/>
      </c>
      <c r="F6" s="12">
        <f>现金流量表!F24</f>
        <v/>
      </c>
      <c r="G6" s="12">
        <f>现金流量表!G24</f>
        <v/>
      </c>
      <c r="H6" s="12">
        <f>现金流量表!H24</f>
        <v/>
      </c>
      <c r="I6" s="12">
        <f>现金流量表!I24</f>
        <v/>
      </c>
      <c r="J6" s="12">
        <f>现金流量表!J24</f>
        <v/>
      </c>
      <c r="K6" s="12">
        <f>现金流量表!K24</f>
        <v/>
      </c>
      <c r="L6" s="12">
        <f>现金流量表!L24</f>
        <v/>
      </c>
      <c r="M6" s="12">
        <f>现金流量表!M24</f>
        <v/>
      </c>
      <c r="N6" s="12">
        <f>现金流量表!N24</f>
        <v/>
      </c>
      <c r="O6" s="12">
        <f>现金流量表!O24</f>
        <v/>
      </c>
      <c r="P6" s="12">
        <f>现金流量表!P24</f>
        <v/>
      </c>
      <c r="Q6" s="12">
        <f>现金流量表!Q24</f>
        <v/>
      </c>
      <c r="R6" s="12">
        <f>现金流量表!R24</f>
        <v/>
      </c>
      <c r="S6" s="12">
        <f>现金流量表!S24</f>
        <v/>
      </c>
    </row>
    <row r="7">
      <c r="A7" s="4" t="inlineStr">
        <is>
          <t>应收款项融资</t>
        </is>
      </c>
      <c r="B7" s="11" t="n">
        <v>0</v>
      </c>
      <c r="C7" s="11" t="n">
        <v>0</v>
      </c>
      <c r="D7" s="11" t="n">
        <v>44.57</v>
      </c>
      <c r="E7" s="12">
        <f>利润表!E6*假设与情景!$B$41</f>
        <v/>
      </c>
      <c r="F7" s="12">
        <f>利润表!F6*假设与情景!$B$41</f>
        <v/>
      </c>
      <c r="G7" s="12">
        <f>利润表!G6*假设与情景!$B$41</f>
        <v/>
      </c>
      <c r="H7" s="12">
        <f>利润表!H6*假设与情景!$B$41</f>
        <v/>
      </c>
      <c r="I7" s="12">
        <f>利润表!I6*假设与情景!$B$41</f>
        <v/>
      </c>
      <c r="J7" s="12">
        <f>利润表!J6*假设与情景!$C$41</f>
        <v/>
      </c>
      <c r="K7" s="12">
        <f>利润表!K6*假设与情景!$C$41</f>
        <v/>
      </c>
      <c r="L7" s="12">
        <f>利润表!L6*假设与情景!$C$41</f>
        <v/>
      </c>
      <c r="M7" s="12">
        <f>利润表!M6*假设与情景!$C$41</f>
        <v/>
      </c>
      <c r="N7" s="12">
        <f>利润表!N6*假设与情景!$C$41</f>
        <v/>
      </c>
      <c r="O7" s="12">
        <f>利润表!O6*假设与情景!$D$41</f>
        <v/>
      </c>
      <c r="P7" s="12">
        <f>利润表!P6*假设与情景!$D$41</f>
        <v/>
      </c>
      <c r="Q7" s="12">
        <f>利润表!Q6*假设与情景!$D$41</f>
        <v/>
      </c>
      <c r="R7" s="12">
        <f>利润表!R6*假设与情景!$D$41</f>
        <v/>
      </c>
      <c r="S7" s="12">
        <f>利润表!S6*假设与情景!$D$41</f>
        <v/>
      </c>
    </row>
    <row r="8">
      <c r="A8" s="4" t="inlineStr">
        <is>
          <t>存货</t>
        </is>
      </c>
      <c r="B8" s="11" t="n">
        <v>464.35</v>
      </c>
      <c r="C8" s="11" t="n">
        <v>543.4299999999999</v>
      </c>
      <c r="D8" s="11" t="n">
        <v>614.27</v>
      </c>
      <c r="E8" s="12">
        <f>利润表!E6*假设与情景!$B$39</f>
        <v/>
      </c>
      <c r="F8" s="12">
        <f>利润表!F6*假设与情景!$B$39</f>
        <v/>
      </c>
      <c r="G8" s="12">
        <f>利润表!G6*假设与情景!$B$39</f>
        <v/>
      </c>
      <c r="H8" s="12">
        <f>利润表!H6*假设与情景!$B$39</f>
        <v/>
      </c>
      <c r="I8" s="12">
        <f>利润表!I6*假设与情景!$B$39</f>
        <v/>
      </c>
      <c r="J8" s="12">
        <f>利润表!J6*假设与情景!$C$39</f>
        <v/>
      </c>
      <c r="K8" s="12">
        <f>利润表!K6*假设与情景!$C$39</f>
        <v/>
      </c>
      <c r="L8" s="12">
        <f>利润表!L6*假设与情景!$C$39</f>
        <v/>
      </c>
      <c r="M8" s="12">
        <f>利润表!M6*假设与情景!$C$39</f>
        <v/>
      </c>
      <c r="N8" s="12">
        <f>利润表!N6*假设与情景!$C$39</f>
        <v/>
      </c>
      <c r="O8" s="12">
        <f>利润表!O6*假设与情景!$D$39</f>
        <v/>
      </c>
      <c r="P8" s="12">
        <f>利润表!P6*假设与情景!$D$39</f>
        <v/>
      </c>
      <c r="Q8" s="12">
        <f>利润表!Q6*假设与情景!$D$39</f>
        <v/>
      </c>
      <c r="R8" s="12">
        <f>利润表!R6*假设与情景!$D$39</f>
        <v/>
      </c>
      <c r="S8" s="12">
        <f>利润表!S6*假设与情景!$D$39</f>
        <v/>
      </c>
    </row>
    <row r="9">
      <c r="A9" s="4" t="inlineStr">
        <is>
          <t>固定资产原值</t>
        </is>
      </c>
      <c r="B9" s="11" t="n">
        <v>330.51</v>
      </c>
      <c r="C9" s="11" t="n">
        <v>366.77</v>
      </c>
      <c r="D9" s="11" t="n">
        <v>391.09</v>
      </c>
      <c r="E9" s="12">
        <f>D9+假设与情景!$B$38</f>
        <v/>
      </c>
      <c r="F9" s="12">
        <f>E9+假设与情景!$B$38</f>
        <v/>
      </c>
      <c r="G9" s="12">
        <f>F9+假设与情景!$B$38</f>
        <v/>
      </c>
      <c r="H9" s="12">
        <f>G9+假设与情景!$B$38</f>
        <v/>
      </c>
      <c r="I9" s="12">
        <f>H9+假设与情景!$B$38</f>
        <v/>
      </c>
      <c r="J9" s="12">
        <f>D9+假设与情景!$C$38</f>
        <v/>
      </c>
      <c r="K9" s="12">
        <f>J9+假设与情景!$C$38</f>
        <v/>
      </c>
      <c r="L9" s="12">
        <f>K9+假设与情景!$C$38</f>
        <v/>
      </c>
      <c r="M9" s="12">
        <f>L9+假设与情景!$C$38</f>
        <v/>
      </c>
      <c r="N9" s="12">
        <f>M9+假设与情景!$C$38</f>
        <v/>
      </c>
      <c r="O9" s="12">
        <f>D9+假设与情景!$D$38</f>
        <v/>
      </c>
      <c r="P9" s="12">
        <f>O9+假设与情景!$D$38</f>
        <v/>
      </c>
      <c r="Q9" s="12">
        <f>P9+假设与情景!$D$38</f>
        <v/>
      </c>
      <c r="R9" s="12">
        <f>Q9+假设与情景!$D$38</f>
        <v/>
      </c>
      <c r="S9" s="12">
        <f>R9+假设与情景!$D$38</f>
        <v/>
      </c>
    </row>
    <row r="10">
      <c r="A10" s="4" t="inlineStr">
        <is>
          <t>本期折旧摊销（D&amp;A）</t>
        </is>
      </c>
      <c r="B10" s="11" t="n">
        <v>20</v>
      </c>
      <c r="C10" s="11" t="n">
        <v>20.63</v>
      </c>
      <c r="D10" s="11" t="n">
        <v>22.15</v>
      </c>
      <c r="E10" s="12">
        <f>假设与情景!$B$44*D9+假设与情景!$B$45</f>
        <v/>
      </c>
      <c r="F10" s="12">
        <f>假设与情景!$B$44*E9+假设与情景!$B$45</f>
        <v/>
      </c>
      <c r="G10" s="12">
        <f>假设与情景!$B$44*F9+假设与情景!$B$45</f>
        <v/>
      </c>
      <c r="H10" s="12">
        <f>假设与情景!$B$44*G9+假设与情景!$B$45</f>
        <v/>
      </c>
      <c r="I10" s="12">
        <f>假设与情景!$B$44*H9+假设与情景!$B$45</f>
        <v/>
      </c>
      <c r="J10" s="12">
        <f>假设与情景!$C$44*D9+假设与情景!$C$45</f>
        <v/>
      </c>
      <c r="K10" s="12">
        <f>假设与情景!$C$44*J9+假设与情景!$C$45</f>
        <v/>
      </c>
      <c r="L10" s="12">
        <f>假设与情景!$C$44*K9+假设与情景!$C$45</f>
        <v/>
      </c>
      <c r="M10" s="12">
        <f>假设与情景!$C$44*L9+假设与情景!$C$45</f>
        <v/>
      </c>
      <c r="N10" s="12">
        <f>假设与情景!$C$44*M9+假设与情景!$C$45</f>
        <v/>
      </c>
      <c r="O10" s="12">
        <f>假设与情景!$D$44*D9+假设与情景!$D$45</f>
        <v/>
      </c>
      <c r="P10" s="12">
        <f>假设与情景!$D$44*O9+假设与情景!$D$45</f>
        <v/>
      </c>
      <c r="Q10" s="12">
        <f>假设与情景!$D$44*P9+假设与情景!$D$45</f>
        <v/>
      </c>
      <c r="R10" s="12">
        <f>假设与情景!$D$44*Q9+假设与情景!$D$45</f>
        <v/>
      </c>
      <c r="S10" s="12">
        <f>假设与情景!$D$44*R9+假设与情景!$D$45</f>
        <v/>
      </c>
    </row>
    <row r="11">
      <c r="A11" s="4" t="inlineStr">
        <is>
          <t>累计折旧</t>
        </is>
      </c>
      <c r="B11" s="11" t="n">
        <v>131.41</v>
      </c>
      <c r="C11" s="11" t="n">
        <v>148.04</v>
      </c>
      <c r="D11" s="11" t="n">
        <v>166.19</v>
      </c>
      <c r="E11" s="13">
        <f>D11+E10</f>
        <v/>
      </c>
      <c r="F11" s="13">
        <f>E11+F10</f>
        <v/>
      </c>
      <c r="G11" s="13">
        <f>F11+G10</f>
        <v/>
      </c>
      <c r="H11" s="13">
        <f>G11+H10</f>
        <v/>
      </c>
      <c r="I11" s="13">
        <f>H11+I10</f>
        <v/>
      </c>
      <c r="J11" s="13">
        <f>D11+J10</f>
        <v/>
      </c>
      <c r="K11" s="13">
        <f>J11+K10</f>
        <v/>
      </c>
      <c r="L11" s="13">
        <f>K11+L10</f>
        <v/>
      </c>
      <c r="M11" s="13">
        <f>L11+M10</f>
        <v/>
      </c>
      <c r="N11" s="13">
        <f>M11+N10</f>
        <v/>
      </c>
      <c r="O11" s="13">
        <f>D11+O10</f>
        <v/>
      </c>
      <c r="P11" s="13">
        <f>O11+P10</f>
        <v/>
      </c>
      <c r="Q11" s="13">
        <f>P11+Q10</f>
        <v/>
      </c>
      <c r="R11" s="13">
        <f>Q11+R10</f>
        <v/>
      </c>
      <c r="S11" s="13">
        <f>R11+S10</f>
        <v/>
      </c>
    </row>
    <row r="12">
      <c r="A12" s="4" t="inlineStr">
        <is>
          <t>固定资产净值</t>
        </is>
      </c>
      <c r="B12" s="13">
        <f>B9-B11</f>
        <v/>
      </c>
      <c r="C12" s="13">
        <f>C9-C11</f>
        <v/>
      </c>
      <c r="D12" s="13">
        <f>D9-D11</f>
        <v/>
      </c>
      <c r="E12" s="13">
        <f>E9-E11</f>
        <v/>
      </c>
      <c r="F12" s="13">
        <f>F9-F11</f>
        <v/>
      </c>
      <c r="G12" s="13">
        <f>G9-G11</f>
        <v/>
      </c>
      <c r="H12" s="13">
        <f>H9-H11</f>
        <v/>
      </c>
      <c r="I12" s="13">
        <f>I9-I11</f>
        <v/>
      </c>
      <c r="J12" s="13">
        <f>J9-J11</f>
        <v/>
      </c>
      <c r="K12" s="13">
        <f>K9-K11</f>
        <v/>
      </c>
      <c r="L12" s="13">
        <f>L9-L11</f>
        <v/>
      </c>
      <c r="M12" s="13">
        <f>M9-M11</f>
        <v/>
      </c>
      <c r="N12" s="13">
        <f>N9-N11</f>
        <v/>
      </c>
      <c r="O12" s="13">
        <f>O9-O11</f>
        <v/>
      </c>
      <c r="P12" s="13">
        <f>P9-P11</f>
        <v/>
      </c>
      <c r="Q12" s="13">
        <f>Q9-Q11</f>
        <v/>
      </c>
      <c r="R12" s="13">
        <f>R9-R11</f>
        <v/>
      </c>
      <c r="S12" s="13">
        <f>S9-S11</f>
        <v/>
      </c>
    </row>
    <row r="13">
      <c r="A13" s="4" t="inlineStr">
        <is>
          <t>在建工程</t>
        </is>
      </c>
      <c r="B13" s="11" t="n">
        <v>21.37</v>
      </c>
      <c r="C13" s="11" t="n">
        <v>21.5</v>
      </c>
      <c r="D13" s="11" t="n">
        <v>24.72</v>
      </c>
      <c r="E13" s="13">
        <f>D13</f>
        <v/>
      </c>
      <c r="F13" s="13">
        <f>E13</f>
        <v/>
      </c>
      <c r="G13" s="13">
        <f>F13</f>
        <v/>
      </c>
      <c r="H13" s="13">
        <f>G13</f>
        <v/>
      </c>
      <c r="I13" s="13">
        <f>H13</f>
        <v/>
      </c>
      <c r="J13" s="13">
        <f>D13</f>
        <v/>
      </c>
      <c r="K13" s="13">
        <f>J13</f>
        <v/>
      </c>
      <c r="L13" s="13">
        <f>K13</f>
        <v/>
      </c>
      <c r="M13" s="13">
        <f>L13</f>
        <v/>
      </c>
      <c r="N13" s="13">
        <f>M13</f>
        <v/>
      </c>
      <c r="O13" s="13">
        <f>D13</f>
        <v/>
      </c>
      <c r="P13" s="13">
        <f>O13</f>
        <v/>
      </c>
      <c r="Q13" s="13">
        <f>P13</f>
        <v/>
      </c>
      <c r="R13" s="13">
        <f>Q13</f>
        <v/>
      </c>
      <c r="S13" s="13">
        <f>R13</f>
        <v/>
      </c>
    </row>
    <row r="14">
      <c r="A14" s="4" t="inlineStr">
        <is>
          <t>无形资产及使用权等</t>
        </is>
      </c>
      <c r="B14" s="11" t="n">
        <v>91.04000000000001</v>
      </c>
      <c r="C14" s="11" t="n">
        <v>93.59</v>
      </c>
      <c r="D14" s="11" t="n">
        <v>90.23999999999999</v>
      </c>
      <c r="E14" s="13">
        <f>D14</f>
        <v/>
      </c>
      <c r="F14" s="13">
        <f>E14</f>
        <v/>
      </c>
      <c r="G14" s="13">
        <f>F14</f>
        <v/>
      </c>
      <c r="H14" s="13">
        <f>G14</f>
        <v/>
      </c>
      <c r="I14" s="13">
        <f>H14</f>
        <v/>
      </c>
      <c r="J14" s="13">
        <f>D14</f>
        <v/>
      </c>
      <c r="K14" s="13">
        <f>J14</f>
        <v/>
      </c>
      <c r="L14" s="13">
        <f>K14</f>
        <v/>
      </c>
      <c r="M14" s="13">
        <f>L14</f>
        <v/>
      </c>
      <c r="N14" s="13">
        <f>M14</f>
        <v/>
      </c>
      <c r="O14" s="13">
        <f>D14</f>
        <v/>
      </c>
      <c r="P14" s="13">
        <f>O14</f>
        <v/>
      </c>
      <c r="Q14" s="13">
        <f>P14</f>
        <v/>
      </c>
      <c r="R14" s="13">
        <f>Q14</f>
        <v/>
      </c>
      <c r="S14" s="13">
        <f>R14</f>
        <v/>
      </c>
    </row>
    <row r="15">
      <c r="A15" s="4" t="inlineStr">
        <is>
          <t>其他资产（财务公司贷款/递延税/其他）</t>
        </is>
      </c>
      <c r="B15" s="11" t="n">
        <v>116.6</v>
      </c>
      <c r="C15" s="11" t="n">
        <v>147.9</v>
      </c>
      <c r="D15" s="11" t="n">
        <v>128.18</v>
      </c>
      <c r="E15" s="13">
        <f>D15</f>
        <v/>
      </c>
      <c r="F15" s="13">
        <f>E15</f>
        <v/>
      </c>
      <c r="G15" s="13">
        <f>F15</f>
        <v/>
      </c>
      <c r="H15" s="13">
        <f>G15</f>
        <v/>
      </c>
      <c r="I15" s="13">
        <f>H15</f>
        <v/>
      </c>
      <c r="J15" s="13">
        <f>D15</f>
        <v/>
      </c>
      <c r="K15" s="13">
        <f>J15</f>
        <v/>
      </c>
      <c r="L15" s="13">
        <f>K15</f>
        <v/>
      </c>
      <c r="M15" s="13">
        <f>L15</f>
        <v/>
      </c>
      <c r="N15" s="13">
        <f>M15</f>
        <v/>
      </c>
      <c r="O15" s="13">
        <f>D15</f>
        <v/>
      </c>
      <c r="P15" s="13">
        <f>O15</f>
        <v/>
      </c>
      <c r="Q15" s="13">
        <f>P15</f>
        <v/>
      </c>
      <c r="R15" s="13">
        <f>Q15</f>
        <v/>
      </c>
      <c r="S15" s="13">
        <f>R15</f>
        <v/>
      </c>
    </row>
    <row r="16">
      <c r="A16" s="4" t="inlineStr">
        <is>
          <t>资产总计</t>
        </is>
      </c>
      <c r="B16" s="13">
        <f>B6+B7+B8+B12+B13+B14+B15</f>
        <v/>
      </c>
      <c r="C16" s="13">
        <f>C6+C7+C8+C12+C13+C14+C15</f>
        <v/>
      </c>
      <c r="D16" s="13">
        <f>D6+D7+D8+D12+D13+D14+D15</f>
        <v/>
      </c>
      <c r="E16" s="13">
        <f>E6+E7+E8+E12+E13+E14+E15</f>
        <v/>
      </c>
      <c r="F16" s="13">
        <f>F6+F7+F8+F12+F13+F14+F15</f>
        <v/>
      </c>
      <c r="G16" s="13">
        <f>G6+G7+G8+G12+G13+G14+G15</f>
        <v/>
      </c>
      <c r="H16" s="13">
        <f>H6+H7+H8+H12+H13+H14+H15</f>
        <v/>
      </c>
      <c r="I16" s="13">
        <f>I6+I7+I8+I12+I13+I14+I15</f>
        <v/>
      </c>
      <c r="J16" s="13">
        <f>J6+J7+J8+J12+J13+J14+J15</f>
        <v/>
      </c>
      <c r="K16" s="13">
        <f>K6+K7+K8+K12+K13+K14+K15</f>
        <v/>
      </c>
      <c r="L16" s="13">
        <f>L6+L7+L8+L12+L13+L14+L15</f>
        <v/>
      </c>
      <c r="M16" s="13">
        <f>M6+M7+M8+M12+M13+M14+M15</f>
        <v/>
      </c>
      <c r="N16" s="13">
        <f>N6+N7+N8+N12+N13+N14+N15</f>
        <v/>
      </c>
      <c r="O16" s="13">
        <f>O6+O7+O8+O12+O13+O14+O15</f>
        <v/>
      </c>
      <c r="P16" s="13">
        <f>P6+P7+P8+P12+P13+P14+P15</f>
        <v/>
      </c>
      <c r="Q16" s="13">
        <f>Q6+Q7+Q8+Q12+Q13+Q14+Q15</f>
        <v/>
      </c>
      <c r="R16" s="13">
        <f>R6+R7+R8+R12+R13+R14+R15</f>
        <v/>
      </c>
      <c r="S16" s="13">
        <f>S6+S7+S8+S12+S13+S14+S15</f>
        <v/>
      </c>
    </row>
    <row r="17">
      <c r="A17" s="4" t="inlineStr">
        <is>
          <t>吸收存款及同业存放（财务公司）</t>
        </is>
      </c>
      <c r="B17" s="11" t="n">
        <v>120.34</v>
      </c>
      <c r="C17" s="11" t="n">
        <v>231.03</v>
      </c>
      <c r="D17" s="11" t="n">
        <v>180.38</v>
      </c>
      <c r="E17" s="13">
        <f>D17</f>
        <v/>
      </c>
      <c r="F17" s="13">
        <f>E17</f>
        <v/>
      </c>
      <c r="G17" s="13">
        <f>F17</f>
        <v/>
      </c>
      <c r="H17" s="13">
        <f>G17</f>
        <v/>
      </c>
      <c r="I17" s="13">
        <f>H17</f>
        <v/>
      </c>
      <c r="J17" s="13">
        <f>D17</f>
        <v/>
      </c>
      <c r="K17" s="13">
        <f>J17</f>
        <v/>
      </c>
      <c r="L17" s="13">
        <f>K17</f>
        <v/>
      </c>
      <c r="M17" s="13">
        <f>L17</f>
        <v/>
      </c>
      <c r="N17" s="13">
        <f>M17</f>
        <v/>
      </c>
      <c r="O17" s="13">
        <f>D17</f>
        <v/>
      </c>
      <c r="P17" s="13">
        <f>O17</f>
        <v/>
      </c>
      <c r="Q17" s="13">
        <f>P17</f>
        <v/>
      </c>
      <c r="R17" s="13">
        <f>Q17</f>
        <v/>
      </c>
      <c r="S17" s="13">
        <f>R17</f>
        <v/>
      </c>
    </row>
    <row r="18">
      <c r="A18" s="4" t="inlineStr">
        <is>
          <t>合同负债</t>
        </is>
      </c>
      <c r="B18" s="11" t="n">
        <v>141.26</v>
      </c>
      <c r="C18" s="11" t="n">
        <v>95.92</v>
      </c>
      <c r="D18" s="11" t="n">
        <v>80.06999999999999</v>
      </c>
      <c r="E18" s="12">
        <f>利润表!E6*假设与情景!$B$40</f>
        <v/>
      </c>
      <c r="F18" s="12">
        <f>利润表!F6*假设与情景!$B$40</f>
        <v/>
      </c>
      <c r="G18" s="12">
        <f>利润表!G6*假设与情景!$B$40</f>
        <v/>
      </c>
      <c r="H18" s="12">
        <f>利润表!H6*假设与情景!$B$40</f>
        <v/>
      </c>
      <c r="I18" s="12">
        <f>利润表!I6*假设与情景!$B$40</f>
        <v/>
      </c>
      <c r="J18" s="12">
        <f>利润表!J6*假设与情景!$C$40</f>
        <v/>
      </c>
      <c r="K18" s="12">
        <f>利润表!K6*假设与情景!$C$40</f>
        <v/>
      </c>
      <c r="L18" s="12">
        <f>利润表!L6*假设与情景!$C$40</f>
        <v/>
      </c>
      <c r="M18" s="12">
        <f>利润表!M6*假设与情景!$C$40</f>
        <v/>
      </c>
      <c r="N18" s="12">
        <f>利润表!N6*假设与情景!$C$40</f>
        <v/>
      </c>
      <c r="O18" s="12">
        <f>利润表!O6*假设与情景!$D$40</f>
        <v/>
      </c>
      <c r="P18" s="12">
        <f>利润表!P6*假设与情景!$D$40</f>
        <v/>
      </c>
      <c r="Q18" s="12">
        <f>利润表!Q6*假设与情景!$D$40</f>
        <v/>
      </c>
      <c r="R18" s="12">
        <f>利润表!R6*假设与情景!$D$40</f>
        <v/>
      </c>
      <c r="S18" s="12">
        <f>利润表!S6*假设与情景!$D$40</f>
        <v/>
      </c>
    </row>
    <row r="19">
      <c r="A19" s="4" t="inlineStr">
        <is>
          <t>其他经营性负债</t>
        </is>
      </c>
      <c r="B19" s="11" t="n">
        <v>228.26</v>
      </c>
      <c r="C19" s="11" t="n">
        <v>241.26</v>
      </c>
      <c r="D19" s="11" t="n">
        <v>237.86</v>
      </c>
      <c r="E19" s="12">
        <f>利润表!E6*假设与情景!$B$42</f>
        <v/>
      </c>
      <c r="F19" s="12">
        <f>利润表!F6*假设与情景!$B$42</f>
        <v/>
      </c>
      <c r="G19" s="12">
        <f>利润表!G6*假设与情景!$B$42</f>
        <v/>
      </c>
      <c r="H19" s="12">
        <f>利润表!H6*假设与情景!$B$42</f>
        <v/>
      </c>
      <c r="I19" s="12">
        <f>利润表!I6*假设与情景!$B$42</f>
        <v/>
      </c>
      <c r="J19" s="12">
        <f>利润表!J6*假设与情景!$C$42</f>
        <v/>
      </c>
      <c r="K19" s="12">
        <f>利润表!K6*假设与情景!$C$42</f>
        <v/>
      </c>
      <c r="L19" s="12">
        <f>利润表!L6*假设与情景!$C$42</f>
        <v/>
      </c>
      <c r="M19" s="12">
        <f>利润表!M6*假设与情景!$C$42</f>
        <v/>
      </c>
      <c r="N19" s="12">
        <f>利润表!N6*假设与情景!$C$42</f>
        <v/>
      </c>
      <c r="O19" s="12">
        <f>利润表!O6*假设与情景!$D$42</f>
        <v/>
      </c>
      <c r="P19" s="12">
        <f>利润表!P6*假设与情景!$D$42</f>
        <v/>
      </c>
      <c r="Q19" s="12">
        <f>利润表!Q6*假设与情景!$D$42</f>
        <v/>
      </c>
      <c r="R19" s="12">
        <f>利润表!R6*假设与情景!$D$42</f>
        <v/>
      </c>
      <c r="S19" s="12">
        <f>利润表!S6*假设与情景!$D$42</f>
        <v/>
      </c>
    </row>
    <row r="20">
      <c r="A20" s="4" t="inlineStr">
        <is>
          <t>负债合计</t>
        </is>
      </c>
      <c r="B20" s="13">
        <f>B17+B18+B19</f>
        <v/>
      </c>
      <c r="C20" s="13">
        <f>C17+C18+C19</f>
        <v/>
      </c>
      <c r="D20" s="13">
        <f>D17+D18+D19</f>
        <v/>
      </c>
      <c r="E20" s="13">
        <f>E17+E18+E19</f>
        <v/>
      </c>
      <c r="F20" s="13">
        <f>F17+F18+F19</f>
        <v/>
      </c>
      <c r="G20" s="13">
        <f>G17+G18+G19</f>
        <v/>
      </c>
      <c r="H20" s="13">
        <f>H17+H18+H19</f>
        <v/>
      </c>
      <c r="I20" s="13">
        <f>I17+I18+I19</f>
        <v/>
      </c>
      <c r="J20" s="13">
        <f>J17+J18+J19</f>
        <v/>
      </c>
      <c r="K20" s="13">
        <f>K17+K18+K19</f>
        <v/>
      </c>
      <c r="L20" s="13">
        <f>L17+L18+L19</f>
        <v/>
      </c>
      <c r="M20" s="13">
        <f>M17+M18+M19</f>
        <v/>
      </c>
      <c r="N20" s="13">
        <f>N17+N18+N19</f>
        <v/>
      </c>
      <c r="O20" s="13">
        <f>O17+O18+O19</f>
        <v/>
      </c>
      <c r="P20" s="13">
        <f>P17+P18+P19</f>
        <v/>
      </c>
      <c r="Q20" s="13">
        <f>Q17+Q18+Q19</f>
        <v/>
      </c>
      <c r="R20" s="13">
        <f>R17+R18+R19</f>
        <v/>
      </c>
      <c r="S20" s="13">
        <f>S17+S18+S19</f>
        <v/>
      </c>
    </row>
    <row r="21">
      <c r="A21" s="4" t="inlineStr">
        <is>
          <t>股本</t>
        </is>
      </c>
      <c r="B21" s="11" t="n">
        <v>12.56</v>
      </c>
      <c r="C21" s="11" t="n">
        <v>12.56</v>
      </c>
      <c r="D21" s="11" t="n">
        <v>12.52</v>
      </c>
      <c r="E21" s="13">
        <f>D21</f>
        <v/>
      </c>
      <c r="F21" s="13">
        <f>E21</f>
        <v/>
      </c>
      <c r="G21" s="13">
        <f>F21</f>
        <v/>
      </c>
      <c r="H21" s="13">
        <f>G21</f>
        <v/>
      </c>
      <c r="I21" s="13">
        <f>H21</f>
        <v/>
      </c>
      <c r="J21" s="13">
        <f>D21</f>
        <v/>
      </c>
      <c r="K21" s="13">
        <f>J21</f>
        <v/>
      </c>
      <c r="L21" s="13">
        <f>K21</f>
        <v/>
      </c>
      <c r="M21" s="13">
        <f>L21</f>
        <v/>
      </c>
      <c r="N21" s="13">
        <f>M21</f>
        <v/>
      </c>
      <c r="O21" s="13">
        <f>D21</f>
        <v/>
      </c>
      <c r="P21" s="13">
        <f>O21</f>
        <v/>
      </c>
      <c r="Q21" s="13">
        <f>P21</f>
        <v/>
      </c>
      <c r="R21" s="13">
        <f>Q21</f>
        <v/>
      </c>
      <c r="S21" s="13">
        <f>R21</f>
        <v/>
      </c>
    </row>
    <row r="22">
      <c r="A22" s="4" t="inlineStr">
        <is>
          <t>盈余公积</t>
        </is>
      </c>
      <c r="B22" s="11" t="n">
        <v>389.99</v>
      </c>
      <c r="C22" s="11" t="n">
        <v>466.36</v>
      </c>
      <c r="D22" s="11" t="n">
        <v>505.43</v>
      </c>
      <c r="E22" s="12">
        <f>D22+利润表!E22*假设与情景!$B$43</f>
        <v/>
      </c>
      <c r="F22" s="12">
        <f>E22+利润表!F22*假设与情景!$B$43</f>
        <v/>
      </c>
      <c r="G22" s="12">
        <f>F22+利润表!G22*假设与情景!$B$43</f>
        <v/>
      </c>
      <c r="H22" s="12">
        <f>G22+利润表!H22*假设与情景!$B$43</f>
        <v/>
      </c>
      <c r="I22" s="12">
        <f>H22+利润表!I22*假设与情景!$B$43</f>
        <v/>
      </c>
      <c r="J22" s="12">
        <f>D22+利润表!J22*假设与情景!$C$43</f>
        <v/>
      </c>
      <c r="K22" s="12">
        <f>J22+利润表!K22*假设与情景!$C$43</f>
        <v/>
      </c>
      <c r="L22" s="12">
        <f>K22+利润表!L22*假设与情景!$C$43</f>
        <v/>
      </c>
      <c r="M22" s="12">
        <f>L22+利润表!M22*假设与情景!$C$43</f>
        <v/>
      </c>
      <c r="N22" s="12">
        <f>M22+利润表!N22*假设与情景!$C$43</f>
        <v/>
      </c>
      <c r="O22" s="12">
        <f>D22+利润表!O22*假设与情景!$D$43</f>
        <v/>
      </c>
      <c r="P22" s="12">
        <f>O22+利润表!P22*假设与情景!$D$43</f>
        <v/>
      </c>
      <c r="Q22" s="12">
        <f>P22+利润表!Q22*假设与情景!$D$43</f>
        <v/>
      </c>
      <c r="R22" s="12">
        <f>Q22+利润表!R22*假设与情景!$D$43</f>
        <v/>
      </c>
      <c r="S22" s="12">
        <f>R22+利润表!S22*假设与情景!$D$43</f>
        <v/>
      </c>
    </row>
    <row r="23">
      <c r="A23" s="4" t="inlineStr">
        <is>
          <t>一般风险准备</t>
        </is>
      </c>
      <c r="B23" s="11" t="n">
        <v>10.62</v>
      </c>
      <c r="C23" s="11" t="n">
        <v>10.62</v>
      </c>
      <c r="D23" s="11" t="n">
        <v>10.62</v>
      </c>
      <c r="E23" s="13">
        <f>D23</f>
        <v/>
      </c>
      <c r="F23" s="13">
        <f>E23</f>
        <v/>
      </c>
      <c r="G23" s="13">
        <f>F23</f>
        <v/>
      </c>
      <c r="H23" s="13">
        <f>G23</f>
        <v/>
      </c>
      <c r="I23" s="13">
        <f>H23</f>
        <v/>
      </c>
      <c r="J23" s="13">
        <f>D23</f>
        <v/>
      </c>
      <c r="K23" s="13">
        <f>J23</f>
        <v/>
      </c>
      <c r="L23" s="13">
        <f>K23</f>
        <v/>
      </c>
      <c r="M23" s="13">
        <f>L23</f>
        <v/>
      </c>
      <c r="N23" s="13">
        <f>M23</f>
        <v/>
      </c>
      <c r="O23" s="13">
        <f>D23</f>
        <v/>
      </c>
      <c r="P23" s="13">
        <f>O23</f>
        <v/>
      </c>
      <c r="Q23" s="13">
        <f>P23</f>
        <v/>
      </c>
      <c r="R23" s="13">
        <f>Q23</f>
        <v/>
      </c>
      <c r="S23" s="13">
        <f>R23</f>
        <v/>
      </c>
    </row>
    <row r="24">
      <c r="A24" s="4" t="inlineStr">
        <is>
          <t>未分配利润</t>
        </is>
      </c>
      <c r="B24" s="11" t="n">
        <v>1729.83</v>
      </c>
      <c r="C24" s="11" t="n">
        <v>1827.87</v>
      </c>
      <c r="D24" s="11" t="n">
        <v>1919.05</v>
      </c>
      <c r="E24" s="12">
        <f>D24+利润表!E22-利润表!E22*假设与情景!$B$36-假设与情景!$B$37-利润表!E22*假设与情景!$B$43</f>
        <v/>
      </c>
      <c r="F24" s="12">
        <f>E24+利润表!F22-利润表!F22*假设与情景!$B$36-假设与情景!$B$37-利润表!F22*假设与情景!$B$43</f>
        <v/>
      </c>
      <c r="G24" s="12">
        <f>F24+利润表!G22-利润表!G22*假设与情景!$B$36-假设与情景!$B$37-利润表!G22*假设与情景!$B$43</f>
        <v/>
      </c>
      <c r="H24" s="12">
        <f>G24+利润表!H22-利润表!H22*假设与情景!$B$36-假设与情景!$B$37-利润表!H22*假设与情景!$B$43</f>
        <v/>
      </c>
      <c r="I24" s="12">
        <f>H24+利润表!I22-利润表!I22*假设与情景!$B$36-假设与情景!$B$37-利润表!I22*假设与情景!$B$43</f>
        <v/>
      </c>
      <c r="J24" s="12">
        <f>D24+利润表!J22-利润表!J22*假设与情景!$C$36-假设与情景!$C$37-利润表!J22*假设与情景!$C$43</f>
        <v/>
      </c>
      <c r="K24" s="12">
        <f>J24+利润表!K22-利润表!K22*假设与情景!$C$36-假设与情景!$C$37-利润表!K22*假设与情景!$C$43</f>
        <v/>
      </c>
      <c r="L24" s="12">
        <f>K24+利润表!L22-利润表!L22*假设与情景!$C$36-假设与情景!$C$37-利润表!L22*假设与情景!$C$43</f>
        <v/>
      </c>
      <c r="M24" s="12">
        <f>L24+利润表!M22-利润表!M22*假设与情景!$C$36-假设与情景!$C$37-利润表!M22*假设与情景!$C$43</f>
        <v/>
      </c>
      <c r="N24" s="12">
        <f>M24+利润表!N22-利润表!N22*假设与情景!$C$36-假设与情景!$C$37-利润表!N22*假设与情景!$C$43</f>
        <v/>
      </c>
      <c r="O24" s="12">
        <f>D24+利润表!O22-利润表!O22*假设与情景!$D$36-假设与情景!$D$37-利润表!O22*假设与情景!$D$43</f>
        <v/>
      </c>
      <c r="P24" s="12">
        <f>O24+利润表!P22-利润表!P22*假设与情景!$D$36-假设与情景!$D$37-利润表!P22*假设与情景!$D$43</f>
        <v/>
      </c>
      <c r="Q24" s="12">
        <f>P24+利润表!Q22-利润表!Q22*假设与情景!$D$36-假设与情景!$D$37-利润表!Q22*假设与情景!$D$43</f>
        <v/>
      </c>
      <c r="R24" s="12">
        <f>Q24+利润表!R22-利润表!R22*假设与情景!$D$36-假设与情景!$D$37-利润表!R22*假设与情景!$D$43</f>
        <v/>
      </c>
      <c r="S24" s="12">
        <f>R24+利润表!S22-利润表!S22*假设与情景!$D$36-假设与情景!$D$37-利润表!S22*假设与情景!$D$43</f>
        <v/>
      </c>
    </row>
    <row r="25">
      <c r="A25" s="4" t="inlineStr">
        <is>
          <t>库存股</t>
        </is>
      </c>
      <c r="B25" s="11" t="n">
        <v>-0</v>
      </c>
      <c r="C25" s="11" t="n">
        <v>-0</v>
      </c>
      <c r="D25" s="11" t="n">
        <v>-1.2</v>
      </c>
      <c r="E25" s="13">
        <f>D25</f>
        <v/>
      </c>
      <c r="F25" s="13">
        <f>E25</f>
        <v/>
      </c>
      <c r="G25" s="13">
        <f>F25</f>
        <v/>
      </c>
      <c r="H25" s="13">
        <f>G25</f>
        <v/>
      </c>
      <c r="I25" s="13">
        <f>H25</f>
        <v/>
      </c>
      <c r="J25" s="13">
        <f>D25</f>
        <v/>
      </c>
      <c r="K25" s="13">
        <f>J25</f>
        <v/>
      </c>
      <c r="L25" s="13">
        <f>K25</f>
        <v/>
      </c>
      <c r="M25" s="13">
        <f>L25</f>
        <v/>
      </c>
      <c r="N25" s="13">
        <f>M25</f>
        <v/>
      </c>
      <c r="O25" s="13">
        <f>D25</f>
        <v/>
      </c>
      <c r="P25" s="13">
        <f>O25</f>
        <v/>
      </c>
      <c r="Q25" s="13">
        <f>P25</f>
        <v/>
      </c>
      <c r="R25" s="13">
        <f>Q25</f>
        <v/>
      </c>
      <c r="S25" s="13">
        <f>R25</f>
        <v/>
      </c>
    </row>
    <row r="26">
      <c r="A26" s="4" t="inlineStr">
        <is>
          <t>归属于母公司股东权益合计</t>
        </is>
      </c>
      <c r="B26" s="13">
        <f>B21+B22+B23+B24+B25</f>
        <v/>
      </c>
      <c r="C26" s="13">
        <f>C21+C22+C23+C24+C25</f>
        <v/>
      </c>
      <c r="D26" s="13">
        <f>D21+D22+D23+D24+D25</f>
        <v/>
      </c>
      <c r="E26" s="13">
        <f>E21+E22+E23+E24+E25</f>
        <v/>
      </c>
      <c r="F26" s="13">
        <f>F21+F22+F23+F24+F25</f>
        <v/>
      </c>
      <c r="G26" s="13">
        <f>G21+G22+G23+G24+G25</f>
        <v/>
      </c>
      <c r="H26" s="13">
        <f>H21+H22+H23+H24+H25</f>
        <v/>
      </c>
      <c r="I26" s="13">
        <f>I21+I22+I23+I24+I25</f>
        <v/>
      </c>
      <c r="J26" s="13">
        <f>J21+J22+J23+J24+J25</f>
        <v/>
      </c>
      <c r="K26" s="13">
        <f>K21+K22+K23+K24+K25</f>
        <v/>
      </c>
      <c r="L26" s="13">
        <f>L21+L22+L23+L24+L25</f>
        <v/>
      </c>
      <c r="M26" s="13">
        <f>M21+M22+M23+M24+M25</f>
        <v/>
      </c>
      <c r="N26" s="13">
        <f>N21+N22+N23+N24+N25</f>
        <v/>
      </c>
      <c r="O26" s="13">
        <f>O21+O22+O23+O24+O25</f>
        <v/>
      </c>
      <c r="P26" s="13">
        <f>P21+P22+P23+P24+P25</f>
        <v/>
      </c>
      <c r="Q26" s="13">
        <f>Q21+Q22+Q23+Q24+Q25</f>
        <v/>
      </c>
      <c r="R26" s="13">
        <f>R21+R22+R23+R24+R25</f>
        <v/>
      </c>
      <c r="S26" s="13">
        <f>S21+S22+S23+S24+S25</f>
        <v/>
      </c>
    </row>
    <row r="27">
      <c r="A27" s="4" t="inlineStr">
        <is>
          <t>少数股东权益</t>
        </is>
      </c>
      <c r="B27" s="11" t="n">
        <v>79.88</v>
      </c>
      <c r="C27" s="11" t="n">
        <v>89.05</v>
      </c>
      <c r="D27" s="11" t="n">
        <v>93.20999999999999</v>
      </c>
      <c r="E27" s="12">
        <f>D27+利润表!E21*(1-假设与情景!$B$50)</f>
        <v/>
      </c>
      <c r="F27" s="12">
        <f>E27+利润表!F21*(1-假设与情景!$B$50)</f>
        <v/>
      </c>
      <c r="G27" s="12">
        <f>F27+利润表!G21*(1-假设与情景!$B$50)</f>
        <v/>
      </c>
      <c r="H27" s="12">
        <f>G27+利润表!H21*(1-假设与情景!$B$50)</f>
        <v/>
      </c>
      <c r="I27" s="12">
        <f>H27+利润表!I21*(1-假设与情景!$B$50)</f>
        <v/>
      </c>
      <c r="J27" s="12">
        <f>D27+利润表!J21*(1-假设与情景!$C$50)</f>
        <v/>
      </c>
      <c r="K27" s="12">
        <f>J27+利润表!K21*(1-假设与情景!$C$50)</f>
        <v/>
      </c>
      <c r="L27" s="12">
        <f>K27+利润表!L21*(1-假设与情景!$C$50)</f>
        <v/>
      </c>
      <c r="M27" s="12">
        <f>L27+利润表!M21*(1-假设与情景!$C$50)</f>
        <v/>
      </c>
      <c r="N27" s="12">
        <f>M27+利润表!N21*(1-假设与情景!$C$50)</f>
        <v/>
      </c>
      <c r="O27" s="12">
        <f>D27+利润表!O21*(1-假设与情景!$D$50)</f>
        <v/>
      </c>
      <c r="P27" s="12">
        <f>O27+利润表!P21*(1-假设与情景!$D$50)</f>
        <v/>
      </c>
      <c r="Q27" s="12">
        <f>P27+利润表!Q21*(1-假设与情景!$D$50)</f>
        <v/>
      </c>
      <c r="R27" s="12">
        <f>Q27+利润表!R21*(1-假设与情景!$D$50)</f>
        <v/>
      </c>
      <c r="S27" s="12">
        <f>R27+利润表!S21*(1-假设与情景!$D$50)</f>
        <v/>
      </c>
    </row>
    <row r="28">
      <c r="A28" s="4" t="inlineStr">
        <is>
          <t>所有者权益合计</t>
        </is>
      </c>
      <c r="B28" s="13">
        <f>B26+B27</f>
        <v/>
      </c>
      <c r="C28" s="13">
        <f>C26+C27</f>
        <v/>
      </c>
      <c r="D28" s="13">
        <f>D26+D27</f>
        <v/>
      </c>
      <c r="E28" s="13">
        <f>E26+E27</f>
        <v/>
      </c>
      <c r="F28" s="13">
        <f>F26+F27</f>
        <v/>
      </c>
      <c r="G28" s="13">
        <f>G26+G27</f>
        <v/>
      </c>
      <c r="H28" s="13">
        <f>H26+H27</f>
        <v/>
      </c>
      <c r="I28" s="13">
        <f>I26+I27</f>
        <v/>
      </c>
      <c r="J28" s="13">
        <f>J26+J27</f>
        <v/>
      </c>
      <c r="K28" s="13">
        <f>K26+K27</f>
        <v/>
      </c>
      <c r="L28" s="13">
        <f>L26+L27</f>
        <v/>
      </c>
      <c r="M28" s="13">
        <f>M26+M27</f>
        <v/>
      </c>
      <c r="N28" s="13">
        <f>N26+N27</f>
        <v/>
      </c>
      <c r="O28" s="13">
        <f>O26+O27</f>
        <v/>
      </c>
      <c r="P28" s="13">
        <f>P26+P27</f>
        <v/>
      </c>
      <c r="Q28" s="13">
        <f>Q26+Q27</f>
        <v/>
      </c>
      <c r="R28" s="13">
        <f>R26+R27</f>
        <v/>
      </c>
      <c r="S28" s="13">
        <f>S26+S27</f>
        <v/>
      </c>
    </row>
    <row r="29">
      <c r="A29" s="4" t="inlineStr">
        <is>
          <t>负债和所有者权益总计</t>
        </is>
      </c>
      <c r="B29" s="13">
        <f>B20+B28</f>
        <v/>
      </c>
      <c r="C29" s="13">
        <f>C20+C28</f>
        <v/>
      </c>
      <c r="D29" s="13">
        <f>D20+D28</f>
        <v/>
      </c>
      <c r="E29" s="13">
        <f>E20+E28</f>
        <v/>
      </c>
      <c r="F29" s="13">
        <f>F20+F28</f>
        <v/>
      </c>
      <c r="G29" s="13">
        <f>G20+G28</f>
        <v/>
      </c>
      <c r="H29" s="13">
        <f>H20+H28</f>
        <v/>
      </c>
      <c r="I29" s="13">
        <f>I20+I28</f>
        <v/>
      </c>
      <c r="J29" s="13">
        <f>J20+J28</f>
        <v/>
      </c>
      <c r="K29" s="13">
        <f>K20+K28</f>
        <v/>
      </c>
      <c r="L29" s="13">
        <f>L20+L28</f>
        <v/>
      </c>
      <c r="M29" s="13">
        <f>M20+M28</f>
        <v/>
      </c>
      <c r="N29" s="13">
        <f>N20+N28</f>
        <v/>
      </c>
      <c r="O29" s="13">
        <f>O20+O28</f>
        <v/>
      </c>
      <c r="P29" s="13">
        <f>P20+P28</f>
        <v/>
      </c>
      <c r="Q29" s="13">
        <f>Q20+Q28</f>
        <v/>
      </c>
      <c r="R29" s="13">
        <f>R20+R28</f>
        <v/>
      </c>
      <c r="S29" s="13">
        <f>S20+S28</f>
        <v/>
      </c>
    </row>
    <row r="30">
      <c r="A30" s="4" t="inlineStr">
        <is>
          <t>平衡检查（资产-负债权益）</t>
        </is>
      </c>
      <c r="B30" s="13">
        <f>B16-B29</f>
        <v/>
      </c>
      <c r="C30" s="13">
        <f>C16-C29</f>
        <v/>
      </c>
      <c r="D30" s="13">
        <f>D16-D29</f>
        <v/>
      </c>
      <c r="E30" s="13">
        <f>E16-E29</f>
        <v/>
      </c>
      <c r="F30" s="13">
        <f>F16-F29</f>
        <v/>
      </c>
      <c r="G30" s="13">
        <f>G16-G29</f>
        <v/>
      </c>
      <c r="H30" s="13">
        <f>H16-H29</f>
        <v/>
      </c>
      <c r="I30" s="13">
        <f>I16-I29</f>
        <v/>
      </c>
      <c r="J30" s="13">
        <f>J16-J29</f>
        <v/>
      </c>
      <c r="K30" s="13">
        <f>K16-K29</f>
        <v/>
      </c>
      <c r="L30" s="13">
        <f>L16-L29</f>
        <v/>
      </c>
      <c r="M30" s="13">
        <f>M16-M29</f>
        <v/>
      </c>
      <c r="N30" s="13">
        <f>N16-N29</f>
        <v/>
      </c>
      <c r="O30" s="13">
        <f>O16-O29</f>
        <v/>
      </c>
      <c r="P30" s="13">
        <f>P16-P29</f>
        <v/>
      </c>
      <c r="Q30" s="13">
        <f>Q16-Q29</f>
        <v/>
      </c>
      <c r="R30" s="13">
        <f>R16-R29</f>
        <v/>
      </c>
      <c r="S30" s="13">
        <f>S16-S29</f>
        <v/>
      </c>
    </row>
    <row r="31">
      <c r="A31" s="4" t="inlineStr">
        <is>
          <t>报表口径资产总计（核对用）</t>
        </is>
      </c>
      <c r="B31" s="11" t="n">
        <v>2727</v>
      </c>
      <c r="C31" s="11" t="n">
        <v>2989.45</v>
      </c>
      <c r="D31" s="11" t="n">
        <v>3038.35</v>
      </c>
    </row>
  </sheetData>
  <mergeCells count="4">
    <mergeCell ref="E3:I3"/>
    <mergeCell ref="B3:D3"/>
    <mergeCell ref="J3:N3"/>
    <mergeCell ref="O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>
      <c r="A1" s="1" t="inlineStr">
        <is>
          <t>现金流量表（间接法简化）</t>
        </is>
      </c>
    </row>
    <row r="2">
      <c r="A2" s="2" t="inlineStr">
        <is>
          <t>单位: 人民币亿元 ｜ 现金池口径=广义金融资产；历史含倒挤调节项，预测为0</t>
        </is>
      </c>
    </row>
    <row r="3">
      <c r="B3" s="10" t="inlineStr">
        <is>
          <t>历史实际（AkShare/年报）</t>
        </is>
      </c>
      <c r="E3" s="10" t="inlineStr">
        <is>
          <t>悲观情景</t>
        </is>
      </c>
      <c r="J3" s="10" t="inlineStr">
        <is>
          <t>中性情景</t>
        </is>
      </c>
      <c r="O3" s="10" t="inlineStr">
        <is>
          <t>乐观情景</t>
        </is>
      </c>
    </row>
    <row r="4">
      <c r="B4" s="7" t="inlineStr">
        <is>
          <t>2023A</t>
        </is>
      </c>
      <c r="C4" s="7" t="inlineStr">
        <is>
          <t>2024A</t>
        </is>
      </c>
      <c r="D4" s="7" t="inlineStr">
        <is>
          <t>2025A</t>
        </is>
      </c>
      <c r="E4" s="7" t="inlineStr">
        <is>
          <t>2026E</t>
        </is>
      </c>
      <c r="F4" s="7" t="inlineStr">
        <is>
          <t>2027E</t>
        </is>
      </c>
      <c r="G4" s="7" t="inlineStr">
        <is>
          <t>2028E</t>
        </is>
      </c>
      <c r="H4" s="7" t="inlineStr">
        <is>
          <t>2029E</t>
        </is>
      </c>
      <c r="I4" s="7" t="inlineStr">
        <is>
          <t>2030E</t>
        </is>
      </c>
      <c r="J4" s="7" t="inlineStr">
        <is>
          <t>2026E</t>
        </is>
      </c>
      <c r="K4" s="7" t="inlineStr">
        <is>
          <t>2027E</t>
        </is>
      </c>
      <c r="L4" s="7" t="inlineStr">
        <is>
          <t>2028E</t>
        </is>
      </c>
      <c r="M4" s="7" t="inlineStr">
        <is>
          <t>2029E</t>
        </is>
      </c>
      <c r="N4" s="7" t="inlineStr">
        <is>
          <t>2030E</t>
        </is>
      </c>
      <c r="O4" s="7" t="inlineStr">
        <is>
          <t>2026E</t>
        </is>
      </c>
      <c r="P4" s="7" t="inlineStr">
        <is>
          <t>2027E</t>
        </is>
      </c>
      <c r="Q4" s="7" t="inlineStr">
        <is>
          <t>2028E</t>
        </is>
      </c>
      <c r="R4" s="7" t="inlineStr">
        <is>
          <t>2029E</t>
        </is>
      </c>
      <c r="S4" s="7" t="inlineStr">
        <is>
          <t>2030E</t>
        </is>
      </c>
    </row>
    <row r="6">
      <c r="A6" s="4" t="inlineStr">
        <is>
          <t>净利润</t>
        </is>
      </c>
      <c r="B6" s="11" t="n">
        <v>775.21</v>
      </c>
      <c r="C6" s="11" t="n">
        <v>893.35</v>
      </c>
      <c r="D6" s="11" t="n">
        <v>853.1</v>
      </c>
      <c r="E6" s="12">
        <f>利润表!E20</f>
        <v/>
      </c>
      <c r="F6" s="12">
        <f>利润表!F20</f>
        <v/>
      </c>
      <c r="G6" s="12">
        <f>利润表!G20</f>
        <v/>
      </c>
      <c r="H6" s="12">
        <f>利润表!H20</f>
        <v/>
      </c>
      <c r="I6" s="12">
        <f>利润表!I20</f>
        <v/>
      </c>
      <c r="J6" s="12">
        <f>利润表!J20</f>
        <v/>
      </c>
      <c r="K6" s="12">
        <f>利润表!K20</f>
        <v/>
      </c>
      <c r="L6" s="12">
        <f>利润表!L20</f>
        <v/>
      </c>
      <c r="M6" s="12">
        <f>利润表!M20</f>
        <v/>
      </c>
      <c r="N6" s="12">
        <f>利润表!N20</f>
        <v/>
      </c>
      <c r="O6" s="12">
        <f>利润表!O20</f>
        <v/>
      </c>
      <c r="P6" s="12">
        <f>利润表!P20</f>
        <v/>
      </c>
      <c r="Q6" s="12">
        <f>利润表!Q20</f>
        <v/>
      </c>
      <c r="R6" s="12">
        <f>利润表!R20</f>
        <v/>
      </c>
      <c r="S6" s="12">
        <f>利润表!S20</f>
        <v/>
      </c>
    </row>
    <row r="7">
      <c r="A7" s="4" t="inlineStr">
        <is>
          <t>折旧摊销</t>
        </is>
      </c>
      <c r="B7" s="12">
        <f>资产负债表!B10</f>
        <v/>
      </c>
      <c r="C7" s="12">
        <f>资产负债表!C10</f>
        <v/>
      </c>
      <c r="D7" s="12">
        <f>资产负债表!D10</f>
        <v/>
      </c>
      <c r="E7" s="12">
        <f>资产负债表!E10</f>
        <v/>
      </c>
      <c r="F7" s="12">
        <f>资产负债表!F10</f>
        <v/>
      </c>
      <c r="G7" s="12">
        <f>资产负债表!G10</f>
        <v/>
      </c>
      <c r="H7" s="12">
        <f>资产负债表!H10</f>
        <v/>
      </c>
      <c r="I7" s="12">
        <f>资产负债表!I10</f>
        <v/>
      </c>
      <c r="J7" s="12">
        <f>资产负债表!J10</f>
        <v/>
      </c>
      <c r="K7" s="12">
        <f>资产负债表!K10</f>
        <v/>
      </c>
      <c r="L7" s="12">
        <f>资产负债表!L10</f>
        <v/>
      </c>
      <c r="M7" s="12">
        <f>资产负债表!M10</f>
        <v/>
      </c>
      <c r="N7" s="12">
        <f>资产负债表!N10</f>
        <v/>
      </c>
      <c r="O7" s="12">
        <f>资产负债表!O10</f>
        <v/>
      </c>
      <c r="P7" s="12">
        <f>资产负债表!P10</f>
        <v/>
      </c>
      <c r="Q7" s="12">
        <f>资产负债表!Q10</f>
        <v/>
      </c>
      <c r="R7" s="12">
        <f>资产负债表!R10</f>
        <v/>
      </c>
      <c r="S7" s="12">
        <f>资产负债表!S10</f>
        <v/>
      </c>
    </row>
    <row r="8">
      <c r="A8" s="4" t="inlineStr">
        <is>
          <t>存货的减少（增加为负）</t>
        </is>
      </c>
      <c r="B8" s="11" t="n">
        <v>-76.11</v>
      </c>
      <c r="C8" s="11" t="n">
        <v>-79.08</v>
      </c>
      <c r="D8" s="11" t="n">
        <v>-70.84</v>
      </c>
      <c r="E8" s="12">
        <f>资产负债表!D8-资产负债表!E8</f>
        <v/>
      </c>
      <c r="F8" s="12">
        <f>资产负债表!E8-资产负债表!F8</f>
        <v/>
      </c>
      <c r="G8" s="12">
        <f>资产负债表!F8-资产负债表!G8</f>
        <v/>
      </c>
      <c r="H8" s="12">
        <f>资产负债表!G8-资产负债表!H8</f>
        <v/>
      </c>
      <c r="I8" s="12">
        <f>资产负债表!H8-资产负债表!I8</f>
        <v/>
      </c>
      <c r="J8" s="12">
        <f>资产负债表!D8-资产负债表!J8</f>
        <v/>
      </c>
      <c r="K8" s="12">
        <f>资产负债表!J8-资产负债表!K8</f>
        <v/>
      </c>
      <c r="L8" s="12">
        <f>资产负债表!K8-资产负债表!L8</f>
        <v/>
      </c>
      <c r="M8" s="12">
        <f>资产负债表!L8-资产负债表!M8</f>
        <v/>
      </c>
      <c r="N8" s="12">
        <f>资产负债表!M8-资产负债表!N8</f>
        <v/>
      </c>
      <c r="O8" s="12">
        <f>资产负债表!D8-资产负债表!O8</f>
        <v/>
      </c>
      <c r="P8" s="12">
        <f>资产负债表!O8-资产负债表!P8</f>
        <v/>
      </c>
      <c r="Q8" s="12">
        <f>资产负债表!P8-资产负债表!Q8</f>
        <v/>
      </c>
      <c r="R8" s="12">
        <f>资产负债表!Q8-资产负债表!R8</f>
        <v/>
      </c>
      <c r="S8" s="12">
        <f>资产负债表!R8-资产负债表!S8</f>
        <v/>
      </c>
    </row>
    <row r="9">
      <c r="A9" s="4" t="inlineStr">
        <is>
          <t>经营性应收的减少（增加为负）</t>
        </is>
      </c>
      <c r="B9" s="11" t="n">
        <v>0</v>
      </c>
      <c r="C9" s="11" t="n">
        <v>0</v>
      </c>
      <c r="D9" s="11" t="n">
        <v>-44.57</v>
      </c>
      <c r="E9" s="12">
        <f>资产负债表!D7-资产负债表!E7</f>
        <v/>
      </c>
      <c r="F9" s="12">
        <f>资产负债表!E7-资产负债表!F7</f>
        <v/>
      </c>
      <c r="G9" s="12">
        <f>资产负债表!F7-资产负债表!G7</f>
        <v/>
      </c>
      <c r="H9" s="12">
        <f>资产负债表!G7-资产负债表!H7</f>
        <v/>
      </c>
      <c r="I9" s="12">
        <f>资产负债表!H7-资产负债表!I7</f>
        <v/>
      </c>
      <c r="J9" s="12">
        <f>资产负债表!D7-资产负债表!J7</f>
        <v/>
      </c>
      <c r="K9" s="12">
        <f>资产负债表!J7-资产负债表!K7</f>
        <v/>
      </c>
      <c r="L9" s="12">
        <f>资产负债表!K7-资产负债表!L7</f>
        <v/>
      </c>
      <c r="M9" s="12">
        <f>资产负债表!L7-资产负债表!M7</f>
        <v/>
      </c>
      <c r="N9" s="12">
        <f>资产负债表!M7-资产负债表!N7</f>
        <v/>
      </c>
      <c r="O9" s="12">
        <f>资产负债表!D7-资产负债表!O7</f>
        <v/>
      </c>
      <c r="P9" s="12">
        <f>资产负债表!O7-资产负债表!P7</f>
        <v/>
      </c>
      <c r="Q9" s="12">
        <f>资产负债表!P7-资产负债表!Q7</f>
        <v/>
      </c>
      <c r="R9" s="12">
        <f>资产负债表!Q7-资产负债表!R7</f>
        <v/>
      </c>
      <c r="S9" s="12">
        <f>资产负债表!R7-资产负债表!S7</f>
        <v/>
      </c>
    </row>
    <row r="10">
      <c r="A10" s="4" t="inlineStr">
        <is>
          <t>经营性应付的增加</t>
        </is>
      </c>
      <c r="B10" s="11" t="n">
        <v>3.72</v>
      </c>
      <c r="C10" s="11" t="n">
        <v>-32.33</v>
      </c>
      <c r="D10" s="11" t="n">
        <v>-19.25</v>
      </c>
      <c r="E10" s="12">
        <f>资产负债表!E18+资产负债表!E19-资产负债表!D18-资产负债表!D19</f>
        <v/>
      </c>
      <c r="F10" s="12">
        <f>资产负债表!F18+资产负债表!F19-资产负债表!E18-资产负债表!E19</f>
        <v/>
      </c>
      <c r="G10" s="12">
        <f>资产负债表!G18+资产负债表!G19-资产负债表!F18-资产负债表!F19</f>
        <v/>
      </c>
      <c r="H10" s="12">
        <f>资产负债表!H18+资产负债表!H19-资产负债表!G18-资产负债表!G19</f>
        <v/>
      </c>
      <c r="I10" s="12">
        <f>资产负债表!I18+资产负债表!I19-资产负债表!H18-资产负债表!H19</f>
        <v/>
      </c>
      <c r="J10" s="12">
        <f>资产负债表!J18+资产负债表!J19-资产负债表!D18-资产负债表!D19</f>
        <v/>
      </c>
      <c r="K10" s="12">
        <f>资产负债表!K18+资产负债表!K19-资产负债表!J18-资产负债表!J19</f>
        <v/>
      </c>
      <c r="L10" s="12">
        <f>资产负债表!L18+资产负债表!L19-资产负债表!K18-资产负债表!K19</f>
        <v/>
      </c>
      <c r="M10" s="12">
        <f>资产负债表!M18+资产负债表!M19-资产负债表!L18-资产负债表!L19</f>
        <v/>
      </c>
      <c r="N10" s="12">
        <f>资产负债表!N18+资产负债表!N19-资产负债表!M18-资产负债表!M19</f>
        <v/>
      </c>
      <c r="O10" s="12">
        <f>资产负债表!O18+资产负债表!O19-资产负债表!D18-资产负债表!D19</f>
        <v/>
      </c>
      <c r="P10" s="12">
        <f>资产负债表!P18+资产负债表!P19-资产负债表!O18-资产负债表!O19</f>
        <v/>
      </c>
      <c r="Q10" s="12">
        <f>资产负债表!Q18+资产负债表!Q19-资产负债表!P18-资产负债表!P19</f>
        <v/>
      </c>
      <c r="R10" s="12">
        <f>资产负债表!R18+资产负债表!R19-资产负债表!Q18-资产负债表!Q19</f>
        <v/>
      </c>
      <c r="S10" s="12">
        <f>资产负债表!S18+资产负债表!S19-资产负债表!R18-资产负债表!R19</f>
        <v/>
      </c>
    </row>
    <row r="11">
      <c r="A11" s="4" t="inlineStr">
        <is>
          <t>其他调整（历史倒挤）</t>
        </is>
      </c>
      <c r="B11" s="13">
        <f>B12-SUM(B6:B10)</f>
        <v/>
      </c>
      <c r="C11" s="13">
        <f>C12-SUM(C6:C10)</f>
        <v/>
      </c>
      <c r="D11" s="13">
        <f>D12-SUM(D6:D10)</f>
        <v/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</row>
    <row r="12">
      <c r="A12" s="4" t="inlineStr">
        <is>
          <t>经营活动现金流量净额</t>
        </is>
      </c>
      <c r="B12" s="11" t="n">
        <v>665.9299999999999</v>
      </c>
      <c r="C12" s="11" t="n">
        <v>924.64</v>
      </c>
      <c r="D12" s="11" t="n">
        <v>615.22</v>
      </c>
      <c r="E12" s="13">
        <f>SUM(E6:E11)</f>
        <v/>
      </c>
      <c r="F12" s="13">
        <f>SUM(F6:F11)</f>
        <v/>
      </c>
      <c r="G12" s="13">
        <f>SUM(G6:G11)</f>
        <v/>
      </c>
      <c r="H12" s="13">
        <f>SUM(H6:H11)</f>
        <v/>
      </c>
      <c r="I12" s="13">
        <f>SUM(I6:I11)</f>
        <v/>
      </c>
      <c r="J12" s="13">
        <f>SUM(J6:J11)</f>
        <v/>
      </c>
      <c r="K12" s="13">
        <f>SUM(K6:K11)</f>
        <v/>
      </c>
      <c r="L12" s="13">
        <f>SUM(L6:L11)</f>
        <v/>
      </c>
      <c r="M12" s="13">
        <f>SUM(M6:M11)</f>
        <v/>
      </c>
      <c r="N12" s="13">
        <f>SUM(N6:N11)</f>
        <v/>
      </c>
      <c r="O12" s="13">
        <f>SUM(O6:O11)</f>
        <v/>
      </c>
      <c r="P12" s="13">
        <f>SUM(P6:P11)</f>
        <v/>
      </c>
      <c r="Q12" s="13">
        <f>SUM(Q6:Q11)</f>
        <v/>
      </c>
      <c r="R12" s="13">
        <f>SUM(R6:R11)</f>
        <v/>
      </c>
      <c r="S12" s="13">
        <f>SUM(S6:S11)</f>
        <v/>
      </c>
    </row>
    <row r="13">
      <c r="A13" s="4" t="inlineStr">
        <is>
          <t>购建固定资产等（CapEx）</t>
        </is>
      </c>
      <c r="B13" s="11" t="n">
        <v>-26.2</v>
      </c>
      <c r="C13" s="11" t="n">
        <v>-46.79</v>
      </c>
      <c r="D13" s="11" t="n">
        <v>-31.28</v>
      </c>
      <c r="E13" s="12">
        <f>-假设与情景!$B$38</f>
        <v/>
      </c>
      <c r="F13" s="12">
        <f>-假设与情景!$B$38</f>
        <v/>
      </c>
      <c r="G13" s="12">
        <f>-假设与情景!$B$38</f>
        <v/>
      </c>
      <c r="H13" s="12">
        <f>-假设与情景!$B$38</f>
        <v/>
      </c>
      <c r="I13" s="12">
        <f>-假设与情景!$B$38</f>
        <v/>
      </c>
      <c r="J13" s="12">
        <f>-假设与情景!$C$38</f>
        <v/>
      </c>
      <c r="K13" s="12">
        <f>-假设与情景!$C$38</f>
        <v/>
      </c>
      <c r="L13" s="12">
        <f>-假设与情景!$C$38</f>
        <v/>
      </c>
      <c r="M13" s="12">
        <f>-假设与情景!$C$38</f>
        <v/>
      </c>
      <c r="N13" s="12">
        <f>-假设与情景!$C$38</f>
        <v/>
      </c>
      <c r="O13" s="12">
        <f>-假设与情景!$D$38</f>
        <v/>
      </c>
      <c r="P13" s="12">
        <f>-假设与情景!$D$38</f>
        <v/>
      </c>
      <c r="Q13" s="12">
        <f>-假设与情景!$D$38</f>
        <v/>
      </c>
      <c r="R13" s="12">
        <f>-假设与情景!$D$38</f>
        <v/>
      </c>
      <c r="S13" s="12">
        <f>-假设与情景!$D$38</f>
        <v/>
      </c>
    </row>
    <row r="14">
      <c r="A14" s="4" t="inlineStr">
        <is>
          <t>投资活动其他净额（财务公司投资滚动）</t>
        </is>
      </c>
      <c r="B14" s="11" t="n">
        <v>-71.05</v>
      </c>
      <c r="C14" s="11" t="n">
        <v>28.94</v>
      </c>
      <c r="D14" s="11" t="n">
        <v>-285.14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</row>
    <row r="15">
      <c r="A15" s="4" t="inlineStr">
        <is>
          <t>投资活动现金流量净额</t>
        </is>
      </c>
      <c r="B15" s="13">
        <f>B13+B14</f>
        <v/>
      </c>
      <c r="C15" s="13">
        <f>C13+C14</f>
        <v/>
      </c>
      <c r="D15" s="13">
        <f>D13+D14</f>
        <v/>
      </c>
      <c r="E15" s="13">
        <f>E13+E14</f>
        <v/>
      </c>
      <c r="F15" s="13">
        <f>F13+F14</f>
        <v/>
      </c>
      <c r="G15" s="13">
        <f>G13+G14</f>
        <v/>
      </c>
      <c r="H15" s="13">
        <f>H13+H14</f>
        <v/>
      </c>
      <c r="I15" s="13">
        <f>I13+I14</f>
        <v/>
      </c>
      <c r="J15" s="13">
        <f>J13+J14</f>
        <v/>
      </c>
      <c r="K15" s="13">
        <f>K13+K14</f>
        <v/>
      </c>
      <c r="L15" s="13">
        <f>L13+L14</f>
        <v/>
      </c>
      <c r="M15" s="13">
        <f>M13+M14</f>
        <v/>
      </c>
      <c r="N15" s="13">
        <f>N13+N14</f>
        <v/>
      </c>
      <c r="O15" s="13">
        <f>O13+O14</f>
        <v/>
      </c>
      <c r="P15" s="13">
        <f>P13+P14</f>
        <v/>
      </c>
      <c r="Q15" s="13">
        <f>Q13+Q14</f>
        <v/>
      </c>
      <c r="R15" s="13">
        <f>R13+R14</f>
        <v/>
      </c>
      <c r="S15" s="13">
        <f>S13+S14</f>
        <v/>
      </c>
    </row>
    <row r="16">
      <c r="A16" s="4" t="inlineStr">
        <is>
          <t>归母分红支付</t>
        </is>
      </c>
      <c r="B16" s="11" t="n">
        <v>-587.55</v>
      </c>
      <c r="C16" s="11" t="n">
        <v>-709.51</v>
      </c>
      <c r="D16" s="11" t="n">
        <v>-672.42</v>
      </c>
      <c r="E16" s="12">
        <f>-利润表!E22*假设与情景!$B$36</f>
        <v/>
      </c>
      <c r="F16" s="12">
        <f>-利润表!F22*假设与情景!$B$36</f>
        <v/>
      </c>
      <c r="G16" s="12">
        <f>-利润表!G22*假设与情景!$B$36</f>
        <v/>
      </c>
      <c r="H16" s="12">
        <f>-利润表!H22*假设与情景!$B$36</f>
        <v/>
      </c>
      <c r="I16" s="12">
        <f>-利润表!I22*假设与情景!$B$36</f>
        <v/>
      </c>
      <c r="J16" s="12">
        <f>-利润表!J22*假设与情景!$C$36</f>
        <v/>
      </c>
      <c r="K16" s="12">
        <f>-利润表!K22*假设与情景!$C$36</f>
        <v/>
      </c>
      <c r="L16" s="12">
        <f>-利润表!L22*假设与情景!$C$36</f>
        <v/>
      </c>
      <c r="M16" s="12">
        <f>-利润表!M22*假设与情景!$C$36</f>
        <v/>
      </c>
      <c r="N16" s="12">
        <f>-利润表!N22*假设与情景!$C$36</f>
        <v/>
      </c>
      <c r="O16" s="12">
        <f>-利润表!O22*假设与情景!$D$36</f>
        <v/>
      </c>
      <c r="P16" s="12">
        <f>-利润表!P22*假设与情景!$D$36</f>
        <v/>
      </c>
      <c r="Q16" s="12">
        <f>-利润表!Q22*假设与情景!$D$36</f>
        <v/>
      </c>
      <c r="R16" s="12">
        <f>-利润表!R22*假设与情景!$D$36</f>
        <v/>
      </c>
      <c r="S16" s="12">
        <f>-利润表!S22*假设与情景!$D$36</f>
        <v/>
      </c>
    </row>
    <row r="17">
      <c r="A17" s="4" t="inlineStr">
        <is>
          <t>少数股东分红</t>
        </is>
      </c>
      <c r="B17" s="11" t="n">
        <v>-22.05</v>
      </c>
      <c r="C17" s="11" t="n">
        <v>-21.64</v>
      </c>
      <c r="D17" s="11" t="n">
        <v>-25.7</v>
      </c>
      <c r="E17" s="12">
        <f>-利润表!E21*假设与情景!$B$50</f>
        <v/>
      </c>
      <c r="F17" s="12">
        <f>-利润表!F21*假设与情景!$B$50</f>
        <v/>
      </c>
      <c r="G17" s="12">
        <f>-利润表!G21*假设与情景!$B$50</f>
        <v/>
      </c>
      <c r="H17" s="12">
        <f>-利润表!H21*假设与情景!$B$50</f>
        <v/>
      </c>
      <c r="I17" s="12">
        <f>-利润表!I21*假设与情景!$B$50</f>
        <v/>
      </c>
      <c r="J17" s="12">
        <f>-利润表!J21*假设与情景!$C$50</f>
        <v/>
      </c>
      <c r="K17" s="12">
        <f>-利润表!K21*假设与情景!$C$50</f>
        <v/>
      </c>
      <c r="L17" s="12">
        <f>-利润表!L21*假设与情景!$C$50</f>
        <v/>
      </c>
      <c r="M17" s="12">
        <f>-利润表!M21*假设与情景!$C$50</f>
        <v/>
      </c>
      <c r="N17" s="12">
        <f>-利润表!N21*假设与情景!$C$50</f>
        <v/>
      </c>
      <c r="O17" s="12">
        <f>-利润表!O21*假设与情景!$D$50</f>
        <v/>
      </c>
      <c r="P17" s="12">
        <f>-利润表!P21*假设与情景!$D$50</f>
        <v/>
      </c>
      <c r="Q17" s="12">
        <f>-利润表!Q21*假设与情景!$D$50</f>
        <v/>
      </c>
      <c r="R17" s="12">
        <f>-利润表!R21*假设与情景!$D$50</f>
        <v/>
      </c>
      <c r="S17" s="12">
        <f>-利润表!S21*假设与情景!$D$50</f>
        <v/>
      </c>
    </row>
    <row r="18">
      <c r="A18" s="4" t="inlineStr">
        <is>
          <t>回购及其他筹资支付</t>
        </is>
      </c>
      <c r="B18" s="11" t="n">
        <v>-1.34</v>
      </c>
      <c r="C18" s="11" t="n">
        <v>-1.16</v>
      </c>
      <c r="D18" s="11" t="n">
        <v>-61.85</v>
      </c>
      <c r="E18" s="12">
        <f>-假设与情景!$B$37</f>
        <v/>
      </c>
      <c r="F18" s="12">
        <f>-假设与情景!$B$37</f>
        <v/>
      </c>
      <c r="G18" s="12">
        <f>-假设与情景!$B$37</f>
        <v/>
      </c>
      <c r="H18" s="12">
        <f>-假设与情景!$B$37</f>
        <v/>
      </c>
      <c r="I18" s="12">
        <f>-假设与情景!$B$37</f>
        <v/>
      </c>
      <c r="J18" s="12">
        <f>-假设与情景!$C$37</f>
        <v/>
      </c>
      <c r="K18" s="12">
        <f>-假设与情景!$C$37</f>
        <v/>
      </c>
      <c r="L18" s="12">
        <f>-假设与情景!$C$37</f>
        <v/>
      </c>
      <c r="M18" s="12">
        <f>-假设与情景!$C$37</f>
        <v/>
      </c>
      <c r="N18" s="12">
        <f>-假设与情景!$C$37</f>
        <v/>
      </c>
      <c r="O18" s="12">
        <f>-假设与情景!$D$37</f>
        <v/>
      </c>
      <c r="P18" s="12">
        <f>-假设与情景!$D$37</f>
        <v/>
      </c>
      <c r="Q18" s="12">
        <f>-假设与情景!$D$37</f>
        <v/>
      </c>
      <c r="R18" s="12">
        <f>-假设与情景!$D$37</f>
        <v/>
      </c>
      <c r="S18" s="12">
        <f>-假设与情景!$D$37</f>
        <v/>
      </c>
    </row>
    <row r="19">
      <c r="A19" s="4" t="inlineStr">
        <is>
          <t>筹资活动现金流量净额</t>
        </is>
      </c>
      <c r="B19" s="13">
        <f>B16+B17+B18</f>
        <v/>
      </c>
      <c r="C19" s="13">
        <f>C16+C17+C18</f>
        <v/>
      </c>
      <c r="D19" s="13">
        <f>D16+D17+D18</f>
        <v/>
      </c>
      <c r="E19" s="13">
        <f>E16+E17+E18</f>
        <v/>
      </c>
      <c r="F19" s="13">
        <f>F16+F17+F18</f>
        <v/>
      </c>
      <c r="G19" s="13">
        <f>G16+G17+G18</f>
        <v/>
      </c>
      <c r="H19" s="13">
        <f>H16+H17+H18</f>
        <v/>
      </c>
      <c r="I19" s="13">
        <f>I16+I17+I18</f>
        <v/>
      </c>
      <c r="J19" s="13">
        <f>J16+J17+J18</f>
        <v/>
      </c>
      <c r="K19" s="13">
        <f>K16+K17+K18</f>
        <v/>
      </c>
      <c r="L19" s="13">
        <f>L16+L17+L18</f>
        <v/>
      </c>
      <c r="M19" s="13">
        <f>M16+M17+M18</f>
        <v/>
      </c>
      <c r="N19" s="13">
        <f>N16+N17+N18</f>
        <v/>
      </c>
      <c r="O19" s="13">
        <f>O16+O17+O18</f>
        <v/>
      </c>
      <c r="P19" s="13">
        <f>P16+P17+P18</f>
        <v/>
      </c>
      <c r="Q19" s="13">
        <f>Q16+Q17+Q18</f>
        <v/>
      </c>
      <c r="R19" s="13">
        <f>R16+R17+R18</f>
        <v/>
      </c>
      <c r="S19" s="13">
        <f>S16+S17+S18</f>
        <v/>
      </c>
    </row>
    <row r="20">
      <c r="A20" s="4" t="inlineStr">
        <is>
          <t>三项活动合计</t>
        </is>
      </c>
      <c r="B20" s="13">
        <f>B12+B15+B19</f>
        <v/>
      </c>
      <c r="C20" s="13">
        <f>C12+C15+C19</f>
        <v/>
      </c>
      <c r="D20" s="13">
        <f>D12+D15+D19</f>
        <v/>
      </c>
      <c r="E20" s="13">
        <f>E12+E15+E19</f>
        <v/>
      </c>
      <c r="F20" s="13">
        <f>F12+F15+F19</f>
        <v/>
      </c>
      <c r="G20" s="13">
        <f>G12+G15+G19</f>
        <v/>
      </c>
      <c r="H20" s="13">
        <f>H12+H15+H19</f>
        <v/>
      </c>
      <c r="I20" s="13">
        <f>I12+I15+I19</f>
        <v/>
      </c>
      <c r="J20" s="13">
        <f>J12+J15+J19</f>
        <v/>
      </c>
      <c r="K20" s="13">
        <f>K12+K15+K19</f>
        <v/>
      </c>
      <c r="L20" s="13">
        <f>L12+L15+L19</f>
        <v/>
      </c>
      <c r="M20" s="13">
        <f>M12+M15+M19</f>
        <v/>
      </c>
      <c r="N20" s="13">
        <f>N12+N15+N19</f>
        <v/>
      </c>
      <c r="O20" s="13">
        <f>O12+O15+O19</f>
        <v/>
      </c>
      <c r="P20" s="13">
        <f>P12+P15+P19</f>
        <v/>
      </c>
      <c r="Q20" s="13">
        <f>Q12+Q15+Q19</f>
        <v/>
      </c>
      <c r="R20" s="13">
        <f>R12+R15+R19</f>
        <v/>
      </c>
      <c r="S20" s="13">
        <f>S12+S15+S19</f>
        <v/>
      </c>
    </row>
    <row r="21">
      <c r="A21" s="4" t="inlineStr">
        <is>
          <t>调节项（现金池口径差异）</t>
        </is>
      </c>
      <c r="B21" s="11" t="n">
        <v>85.20999999999999</v>
      </c>
      <c r="C21" s="11" t="n">
        <v>-66.33</v>
      </c>
      <c r="D21" s="11" t="n">
        <v>382.64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</row>
    <row r="22">
      <c r="A22" s="4" t="inlineStr">
        <is>
          <t>现金净变动</t>
        </is>
      </c>
      <c r="B22" s="13">
        <f>B20+B21</f>
        <v/>
      </c>
      <c r="C22" s="13">
        <f>C20+C21</f>
        <v/>
      </c>
      <c r="D22" s="13">
        <f>D20+D21</f>
        <v/>
      </c>
      <c r="E22" s="13">
        <f>E20+E21</f>
        <v/>
      </c>
      <c r="F22" s="13">
        <f>F20+F21</f>
        <v/>
      </c>
      <c r="G22" s="13">
        <f>G20+G21</f>
        <v/>
      </c>
      <c r="H22" s="13">
        <f>H20+H21</f>
        <v/>
      </c>
      <c r="I22" s="13">
        <f>I20+I21</f>
        <v/>
      </c>
      <c r="J22" s="13">
        <f>J20+J21</f>
        <v/>
      </c>
      <c r="K22" s="13">
        <f>K20+K21</f>
        <v/>
      </c>
      <c r="L22" s="13">
        <f>L20+L21</f>
        <v/>
      </c>
      <c r="M22" s="13">
        <f>M20+M21</f>
        <v/>
      </c>
      <c r="N22" s="13">
        <f>N20+N21</f>
        <v/>
      </c>
      <c r="O22" s="13">
        <f>O20+O21</f>
        <v/>
      </c>
      <c r="P22" s="13">
        <f>P20+P21</f>
        <v/>
      </c>
      <c r="Q22" s="13">
        <f>Q20+Q21</f>
        <v/>
      </c>
      <c r="R22" s="13">
        <f>R20+R21</f>
        <v/>
      </c>
      <c r="S22" s="13">
        <f>S20+S21</f>
        <v/>
      </c>
    </row>
    <row r="23">
      <c r="A23" s="4" t="inlineStr">
        <is>
          <t>期初现金池</t>
        </is>
      </c>
      <c r="B23" s="11" t="n">
        <v>1769.51</v>
      </c>
      <c r="C23" s="11" t="n">
        <v>1834.52</v>
      </c>
      <c r="D23" s="11" t="n">
        <v>1964.3</v>
      </c>
      <c r="E23" s="12">
        <f>资产负债表!D6</f>
        <v/>
      </c>
      <c r="F23" s="12">
        <f>资产负债表!E6</f>
        <v/>
      </c>
      <c r="G23" s="12">
        <f>资产负债表!F6</f>
        <v/>
      </c>
      <c r="H23" s="12">
        <f>资产负债表!G6</f>
        <v/>
      </c>
      <c r="I23" s="12">
        <f>资产负债表!H6</f>
        <v/>
      </c>
      <c r="J23" s="12">
        <f>资产负债表!D6</f>
        <v/>
      </c>
      <c r="K23" s="12">
        <f>资产负债表!J6</f>
        <v/>
      </c>
      <c r="L23" s="12">
        <f>资产负债表!K6</f>
        <v/>
      </c>
      <c r="M23" s="12">
        <f>资产负债表!L6</f>
        <v/>
      </c>
      <c r="N23" s="12">
        <f>资产负债表!M6</f>
        <v/>
      </c>
      <c r="O23" s="12">
        <f>资产负债表!D6</f>
        <v/>
      </c>
      <c r="P23" s="12">
        <f>资产负债表!O6</f>
        <v/>
      </c>
      <c r="Q23" s="12">
        <f>资产负债表!P6</f>
        <v/>
      </c>
      <c r="R23" s="12">
        <f>资产负债表!Q6</f>
        <v/>
      </c>
      <c r="S23" s="12">
        <f>资产负债表!R6</f>
        <v/>
      </c>
    </row>
    <row r="24">
      <c r="A24" s="4" t="inlineStr">
        <is>
          <t>期末现金池</t>
        </is>
      </c>
      <c r="B24" s="13">
        <f>B23+B22</f>
        <v/>
      </c>
      <c r="C24" s="13">
        <f>C23+C22</f>
        <v/>
      </c>
      <c r="D24" s="13">
        <f>D23+D22</f>
        <v/>
      </c>
      <c r="E24" s="13">
        <f>E23+E22</f>
        <v/>
      </c>
      <c r="F24" s="13">
        <f>F23+F22</f>
        <v/>
      </c>
      <c r="G24" s="13">
        <f>G23+G22</f>
        <v/>
      </c>
      <c r="H24" s="13">
        <f>H23+H22</f>
        <v/>
      </c>
      <c r="I24" s="13">
        <f>I23+I22</f>
        <v/>
      </c>
      <c r="J24" s="13">
        <f>J23+J22</f>
        <v/>
      </c>
      <c r="K24" s="13">
        <f>K23+K22</f>
        <v/>
      </c>
      <c r="L24" s="13">
        <f>L23+L22</f>
        <v/>
      </c>
      <c r="M24" s="13">
        <f>M23+M22</f>
        <v/>
      </c>
      <c r="N24" s="13">
        <f>N23+N22</f>
        <v/>
      </c>
      <c r="O24" s="13">
        <f>O23+O22</f>
        <v/>
      </c>
      <c r="P24" s="13">
        <f>P23+P22</f>
        <v/>
      </c>
      <c r="Q24" s="13">
        <f>Q23+Q22</f>
        <v/>
      </c>
      <c r="R24" s="13">
        <f>R23+R22</f>
        <v/>
      </c>
      <c r="S24" s="13">
        <f>S23+S22</f>
        <v/>
      </c>
    </row>
    <row r="25">
      <c r="A25" s="4" t="inlineStr">
        <is>
          <t>简化自由现金流（OCF-CapEx）</t>
        </is>
      </c>
      <c r="B25" s="13">
        <f>B12+B13</f>
        <v/>
      </c>
      <c r="C25" s="13">
        <f>C12+C13</f>
        <v/>
      </c>
      <c r="D25" s="13">
        <f>D12+D13</f>
        <v/>
      </c>
      <c r="E25" s="13">
        <f>E12+E13</f>
        <v/>
      </c>
      <c r="F25" s="13">
        <f>F12+F13</f>
        <v/>
      </c>
      <c r="G25" s="13">
        <f>G12+G13</f>
        <v/>
      </c>
      <c r="H25" s="13">
        <f>H12+H13</f>
        <v/>
      </c>
      <c r="I25" s="13">
        <f>I12+I13</f>
        <v/>
      </c>
      <c r="J25" s="13">
        <f>J12+J13</f>
        <v/>
      </c>
      <c r="K25" s="13">
        <f>K12+K13</f>
        <v/>
      </c>
      <c r="L25" s="13">
        <f>L12+L13</f>
        <v/>
      </c>
      <c r="M25" s="13">
        <f>M12+M13</f>
        <v/>
      </c>
      <c r="N25" s="13">
        <f>N12+N13</f>
        <v/>
      </c>
      <c r="O25" s="13">
        <f>O12+O13</f>
        <v/>
      </c>
      <c r="P25" s="13">
        <f>P12+P13</f>
        <v/>
      </c>
      <c r="Q25" s="13">
        <f>Q12+Q13</f>
        <v/>
      </c>
      <c r="R25" s="13">
        <f>R12+R13</f>
        <v/>
      </c>
      <c r="S25" s="13">
        <f>S12+S13</f>
        <v/>
      </c>
    </row>
    <row r="26">
      <c r="A26" s="4" t="inlineStr">
        <is>
          <t>分红+回购覆盖倍数</t>
        </is>
      </c>
      <c r="B26" s="17">
        <f>IF((B16+B18)&lt;0,B25/-(B16+B18),0)</f>
        <v/>
      </c>
      <c r="C26" s="17">
        <f>IF((C16+C18)&lt;0,C25/-(C16+C18),0)</f>
        <v/>
      </c>
      <c r="D26" s="17">
        <f>IF((D16+D18)&lt;0,D25/-(D16+D18),0)</f>
        <v/>
      </c>
      <c r="E26" s="17">
        <f>IF((E16+E18)&lt;0,E25/-(E16+E18),0)</f>
        <v/>
      </c>
      <c r="F26" s="17">
        <f>IF((F16+F18)&lt;0,F25/-(F16+F18),0)</f>
        <v/>
      </c>
      <c r="G26" s="17">
        <f>IF((G16+G18)&lt;0,G25/-(G16+G18),0)</f>
        <v/>
      </c>
      <c r="H26" s="17">
        <f>IF((H16+H18)&lt;0,H25/-(H16+H18),0)</f>
        <v/>
      </c>
      <c r="I26" s="17">
        <f>IF((I16+I18)&lt;0,I25/-(I16+I18),0)</f>
        <v/>
      </c>
      <c r="J26" s="17">
        <f>IF((J16+J18)&lt;0,J25/-(J16+J18),0)</f>
        <v/>
      </c>
      <c r="K26" s="17">
        <f>IF((K16+K18)&lt;0,K25/-(K16+K18),0)</f>
        <v/>
      </c>
      <c r="L26" s="17">
        <f>IF((L16+L18)&lt;0,L25/-(L16+L18),0)</f>
        <v/>
      </c>
      <c r="M26" s="17">
        <f>IF((M16+M18)&lt;0,M25/-(M16+M18),0)</f>
        <v/>
      </c>
      <c r="N26" s="17">
        <f>IF((N16+N18)&lt;0,N25/-(N16+N18),0)</f>
        <v/>
      </c>
      <c r="O26" s="17">
        <f>IF((O16+O18)&lt;0,O25/-(O16+O18),0)</f>
        <v/>
      </c>
      <c r="P26" s="17">
        <f>IF((P16+P18)&lt;0,P25/-(P16+P18),0)</f>
        <v/>
      </c>
      <c r="Q26" s="17">
        <f>IF((Q16+Q18)&lt;0,Q25/-(Q16+Q18),0)</f>
        <v/>
      </c>
      <c r="R26" s="17">
        <f>IF((R16+R18)&lt;0,R25/-(R16+R18),0)</f>
        <v/>
      </c>
      <c r="S26" s="17">
        <f>IF((S16+S18)&lt;0,S25/-(S16+S18),0)</f>
        <v/>
      </c>
    </row>
    <row r="27">
      <c r="A27" s="4" t="inlineStr">
        <is>
          <t>报表口径期末现金及等价物（核对）</t>
        </is>
      </c>
      <c r="B27" s="11" t="n">
        <v>1503.6</v>
      </c>
      <c r="C27" s="11" t="n">
        <v>1699.7</v>
      </c>
      <c r="D27" s="11" t="n">
        <v>1264.26</v>
      </c>
    </row>
  </sheetData>
  <mergeCells count="4">
    <mergeCell ref="E3:I3"/>
    <mergeCell ref="B3:D3"/>
    <mergeCell ref="J3:N3"/>
    <mergeCell ref="O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</cols>
  <sheetData>
    <row r="1">
      <c r="A1" s="1" t="inlineStr">
        <is>
          <t>三情景关键结果对比（取自三张主表对应情景块）</t>
        </is>
      </c>
    </row>
    <row r="2">
      <c r="A2" s="2" t="inlineStr">
        <is>
          <t>悲观/中性/乐观分别对应利润表-资产负债表-现金流量表的 E-I / J-N / O-S 列</t>
        </is>
      </c>
    </row>
    <row r="4">
      <c r="A4" s="7" t="inlineStr">
        <is>
          <t>指标</t>
        </is>
      </c>
      <c r="B4" s="7" t="inlineStr">
        <is>
          <t>悲观26E</t>
        </is>
      </c>
      <c r="C4" s="7" t="inlineStr">
        <is>
          <t>悲观30E</t>
        </is>
      </c>
      <c r="D4" s="7" t="inlineStr">
        <is>
          <t>悲观CAGR</t>
        </is>
      </c>
      <c r="E4" s="7" t="inlineStr">
        <is>
          <t>中性26E</t>
        </is>
      </c>
      <c r="F4" s="7" t="inlineStr">
        <is>
          <t>中性30E</t>
        </is>
      </c>
      <c r="G4" s="7" t="inlineStr">
        <is>
          <t>中性CAGR</t>
        </is>
      </c>
      <c r="H4" s="7" t="inlineStr">
        <is>
          <t>乐观26E</t>
        </is>
      </c>
      <c r="I4" s="7" t="inlineStr">
        <is>
          <t>乐观30E</t>
        </is>
      </c>
      <c r="J4" s="7" t="inlineStr">
        <is>
          <t>乐观CAGR</t>
        </is>
      </c>
    </row>
    <row r="5">
      <c r="A5" s="4" t="inlineStr">
        <is>
          <t>营业收入（亿）</t>
        </is>
      </c>
      <c r="B5" s="12">
        <f>利润表!E6</f>
        <v/>
      </c>
      <c r="C5" s="12">
        <f>利润表!I6</f>
        <v/>
      </c>
      <c r="D5" s="18">
        <f>(利润表!I6/利润表!$D$6)^(1/5)-1</f>
        <v/>
      </c>
      <c r="E5" s="12">
        <f>利润表!J6</f>
        <v/>
      </c>
      <c r="F5" s="12">
        <f>利润表!N6</f>
        <v/>
      </c>
      <c r="G5" s="18">
        <f>(利润表!N6/利润表!$D$6)^(1/5)-1</f>
        <v/>
      </c>
      <c r="H5" s="12">
        <f>利润表!O6</f>
        <v/>
      </c>
      <c r="I5" s="12">
        <f>利润表!S6</f>
        <v/>
      </c>
      <c r="J5" s="18">
        <f>(利润表!S6/利润表!$D$6)^(1/5)-1</f>
        <v/>
      </c>
    </row>
    <row r="6">
      <c r="A6" s="4" t="inlineStr">
        <is>
          <t>归母净利润（亿）</t>
        </is>
      </c>
      <c r="B6" s="12">
        <f>利润表!E22</f>
        <v/>
      </c>
      <c r="C6" s="12">
        <f>利润表!I22</f>
        <v/>
      </c>
      <c r="D6" s="18">
        <f>(利润表!I22/利润表!$D$22)^(1/5)-1</f>
        <v/>
      </c>
      <c r="E6" s="12">
        <f>利润表!J22</f>
        <v/>
      </c>
      <c r="F6" s="12">
        <f>利润表!N22</f>
        <v/>
      </c>
      <c r="G6" s="18">
        <f>(利润表!N22/利润表!$D$22)^(1/5)-1</f>
        <v/>
      </c>
      <c r="H6" s="12">
        <f>利润表!O22</f>
        <v/>
      </c>
      <c r="I6" s="12">
        <f>利润表!S22</f>
        <v/>
      </c>
      <c r="J6" s="18">
        <f>(利润表!S22/利润表!$D$22)^(1/5)-1</f>
        <v/>
      </c>
    </row>
    <row r="7">
      <c r="A7" s="4" t="inlineStr">
        <is>
          <t>EPS（元）</t>
        </is>
      </c>
      <c r="B7" s="14">
        <f>利润表!E23</f>
        <v/>
      </c>
      <c r="C7" s="14">
        <f>利润表!I23</f>
        <v/>
      </c>
      <c r="D7" s="19" t="inlineStr">
        <is>
          <t>—</t>
        </is>
      </c>
      <c r="E7" s="14">
        <f>利润表!J23</f>
        <v/>
      </c>
      <c r="F7" s="14">
        <f>利润表!N23</f>
        <v/>
      </c>
      <c r="G7" s="19" t="inlineStr">
        <is>
          <t>—</t>
        </is>
      </c>
      <c r="H7" s="14">
        <f>利润表!O23</f>
        <v/>
      </c>
      <c r="I7" s="14">
        <f>利润表!S23</f>
        <v/>
      </c>
      <c r="J7" s="19" t="inlineStr">
        <is>
          <t>—</t>
        </is>
      </c>
    </row>
    <row r="8">
      <c r="A8" s="4" t="inlineStr">
        <is>
          <t>DPS（元）</t>
        </is>
      </c>
      <c r="B8" s="14">
        <f>利润表!E22*假设与情景!$B$36/假设与情景!$B$6</f>
        <v/>
      </c>
      <c r="C8" s="14">
        <f>利润表!I22*假设与情景!$B$36/假设与情景!$B$6</f>
        <v/>
      </c>
      <c r="D8" s="19" t="inlineStr">
        <is>
          <t>—</t>
        </is>
      </c>
      <c r="E8" s="14">
        <f>利润表!J22*假设与情景!$C$36/假设与情景!$B$6</f>
        <v/>
      </c>
      <c r="F8" s="14">
        <f>利润表!N22*假设与情景!$C$36/假设与情景!$B$6</f>
        <v/>
      </c>
      <c r="G8" s="19" t="inlineStr">
        <is>
          <t>—</t>
        </is>
      </c>
      <c r="H8" s="14">
        <f>利润表!O22*假设与情景!$D$36/假设与情景!$B$6</f>
        <v/>
      </c>
      <c r="I8" s="14">
        <f>利润表!S22*假设与情景!$D$36/假设与情景!$B$6</f>
        <v/>
      </c>
      <c r="J8" s="19" t="inlineStr">
        <is>
          <t>—</t>
        </is>
      </c>
    </row>
    <row r="9">
      <c r="A9" s="4" t="inlineStr">
        <is>
          <t>经营活动净现金流（亿）</t>
        </is>
      </c>
      <c r="B9" s="12">
        <f>现金流量表!E12</f>
        <v/>
      </c>
      <c r="C9" s="12">
        <f>现金流量表!I12</f>
        <v/>
      </c>
      <c r="D9" s="19" t="inlineStr">
        <is>
          <t>—</t>
        </is>
      </c>
      <c r="E9" s="12">
        <f>现金流量表!J12</f>
        <v/>
      </c>
      <c r="F9" s="12">
        <f>现金流量表!N12</f>
        <v/>
      </c>
      <c r="G9" s="19" t="inlineStr">
        <is>
          <t>—</t>
        </is>
      </c>
      <c r="H9" s="12">
        <f>现金流量表!O12</f>
        <v/>
      </c>
      <c r="I9" s="12">
        <f>现金流量表!S12</f>
        <v/>
      </c>
      <c r="J9" s="19" t="inlineStr">
        <is>
          <t>—</t>
        </is>
      </c>
    </row>
    <row r="10">
      <c r="A10" s="4" t="inlineStr">
        <is>
          <t>简化FCF（亿）</t>
        </is>
      </c>
      <c r="B10" s="12">
        <f>现金流量表!E25</f>
        <v/>
      </c>
      <c r="C10" s="12">
        <f>现金流量表!I25</f>
        <v/>
      </c>
      <c r="D10" s="19" t="inlineStr">
        <is>
          <t>—</t>
        </is>
      </c>
      <c r="E10" s="12">
        <f>现金流量表!J25</f>
        <v/>
      </c>
      <c r="F10" s="12">
        <f>现金流量表!N25</f>
        <v/>
      </c>
      <c r="G10" s="19" t="inlineStr">
        <is>
          <t>—</t>
        </is>
      </c>
      <c r="H10" s="12">
        <f>现金流量表!O25</f>
        <v/>
      </c>
      <c r="I10" s="12">
        <f>现金流量表!S25</f>
        <v/>
      </c>
      <c r="J10" s="19" t="inlineStr">
        <is>
          <t>—</t>
        </is>
      </c>
    </row>
    <row r="11">
      <c r="A11" s="4" t="inlineStr">
        <is>
          <t>期末现金池（亿）</t>
        </is>
      </c>
      <c r="B11" s="12">
        <f>资产负债表!E6</f>
        <v/>
      </c>
      <c r="C11" s="12">
        <f>资产负债表!I6</f>
        <v/>
      </c>
      <c r="D11" s="19" t="inlineStr">
        <is>
          <t>—</t>
        </is>
      </c>
      <c r="E11" s="12">
        <f>资产负债表!J6</f>
        <v/>
      </c>
      <c r="F11" s="12">
        <f>资产负债表!N6</f>
        <v/>
      </c>
      <c r="G11" s="19" t="inlineStr">
        <is>
          <t>—</t>
        </is>
      </c>
      <c r="H11" s="12">
        <f>资产负债表!O6</f>
        <v/>
      </c>
      <c r="I11" s="12">
        <f>资产负债表!S6</f>
        <v/>
      </c>
      <c r="J11" s="19" t="inlineStr">
        <is>
          <t>—</t>
        </is>
      </c>
    </row>
    <row r="12">
      <c r="A12" s="4" t="inlineStr">
        <is>
          <t>归母权益（亿）</t>
        </is>
      </c>
      <c r="B12" s="12">
        <f>资产负债表!E26</f>
        <v/>
      </c>
      <c r="C12" s="12">
        <f>资产负债表!I26</f>
        <v/>
      </c>
      <c r="D12" s="19" t="inlineStr">
        <is>
          <t>—</t>
        </is>
      </c>
      <c r="E12" s="12">
        <f>资产负债表!J26</f>
        <v/>
      </c>
      <c r="F12" s="12">
        <f>资产负债表!N26</f>
        <v/>
      </c>
      <c r="G12" s="19" t="inlineStr">
        <is>
          <t>—</t>
        </is>
      </c>
      <c r="H12" s="12">
        <f>资产负债表!O26</f>
        <v/>
      </c>
      <c r="I12" s="12">
        <f>资产负债表!S26</f>
        <v/>
      </c>
      <c r="J12" s="19" t="inlineStr">
        <is>
          <t>—</t>
        </is>
      </c>
    </row>
    <row r="13">
      <c r="A13" s="4" t="inlineStr">
        <is>
          <t>每股净资产（元）</t>
        </is>
      </c>
      <c r="B13" s="14">
        <f>资产负债表!E26/假设与情景!$B$6</f>
        <v/>
      </c>
      <c r="C13" s="14">
        <f>资产负债表!I26/假设与情景!$B$6</f>
        <v/>
      </c>
      <c r="D13" s="19" t="inlineStr">
        <is>
          <t>—</t>
        </is>
      </c>
      <c r="E13" s="14">
        <f>资产负债表!J26/假设与情景!$B$6</f>
        <v/>
      </c>
      <c r="F13" s="14">
        <f>资产负债表!N26/假设与情景!$B$6</f>
        <v/>
      </c>
      <c r="G13" s="19" t="inlineStr">
        <is>
          <t>—</t>
        </is>
      </c>
      <c r="H13" s="14">
        <f>资产负债表!O26/假设与情景!$B$6</f>
        <v/>
      </c>
      <c r="I13" s="14">
        <f>资产负债表!S26/假设与情景!$B$6</f>
        <v/>
      </c>
      <c r="J13" s="19" t="inlineStr">
        <is>
          <t>—</t>
        </is>
      </c>
    </row>
    <row r="14">
      <c r="A14" s="4" t="inlineStr">
        <is>
          <t>ROE（归母）</t>
        </is>
      </c>
      <c r="B14" s="18">
        <f>利润表!E22/资产负债表!E26</f>
        <v/>
      </c>
      <c r="C14" s="18">
        <f>利润表!I22/资产负债表!I26</f>
        <v/>
      </c>
      <c r="D14" s="19" t="inlineStr">
        <is>
          <t>—</t>
        </is>
      </c>
      <c r="E14" s="18">
        <f>利润表!J22/资产负债表!J26</f>
        <v/>
      </c>
      <c r="F14" s="18">
        <f>利润表!N22/资产负债表!N26</f>
        <v/>
      </c>
      <c r="G14" s="19" t="inlineStr">
        <is>
          <t>—</t>
        </is>
      </c>
      <c r="H14" s="18">
        <f>利润表!O22/资产负债表!O26</f>
        <v/>
      </c>
      <c r="I14" s="18">
        <f>利润表!S22/资产负债表!S26</f>
        <v/>
      </c>
      <c r="J14" s="19" t="inlineStr">
        <is>
          <t>—</t>
        </is>
      </c>
    </row>
    <row r="15">
      <c r="A15" s="4" t="inlineStr">
        <is>
          <t>隐含PE（现价）</t>
        </is>
      </c>
      <c r="B15" s="14">
        <f>假设与情景!$B$5/利润表!E23</f>
        <v/>
      </c>
      <c r="C15" s="14">
        <f>假设与情景!$B$5/利润表!I23</f>
        <v/>
      </c>
      <c r="D15" s="19" t="inlineStr">
        <is>
          <t>—</t>
        </is>
      </c>
      <c r="E15" s="14">
        <f>假设与情景!$B$5/利润表!J23</f>
        <v/>
      </c>
      <c r="F15" s="14">
        <f>假设与情景!$B$5/利润表!N23</f>
        <v/>
      </c>
      <c r="G15" s="19" t="inlineStr">
        <is>
          <t>—</t>
        </is>
      </c>
      <c r="H15" s="14">
        <f>假设与情景!$B$5/利润表!O23</f>
        <v/>
      </c>
      <c r="I15" s="14">
        <f>假设与情景!$B$5/利润表!S23</f>
        <v/>
      </c>
      <c r="J15" s="19" t="inlineStr">
        <is>
          <t>—</t>
        </is>
      </c>
    </row>
    <row r="16">
      <c r="A16" s="4" t="inlineStr">
        <is>
          <t>隐含PB（现价）</t>
        </is>
      </c>
      <c r="B16" s="14">
        <f>假设与情景!$B$5/(资产负债表!E26/假设与情景!$B$6)</f>
        <v/>
      </c>
      <c r="C16" s="14">
        <f>假设与情景!$B$5/(资产负债表!I26/假设与情景!$B$6)</f>
        <v/>
      </c>
      <c r="D16" s="19" t="inlineStr">
        <is>
          <t>—</t>
        </is>
      </c>
      <c r="E16" s="14">
        <f>假设与情景!$B$5/(资产负债表!J26/假设与情景!$B$6)</f>
        <v/>
      </c>
      <c r="F16" s="14">
        <f>假设与情景!$B$5/(资产负债表!N26/假设与情景!$B$6)</f>
        <v/>
      </c>
      <c r="G16" s="19" t="inlineStr">
        <is>
          <t>—</t>
        </is>
      </c>
      <c r="H16" s="14">
        <f>假设与情景!$B$5/(资产负债表!O26/假设与情景!$B$6)</f>
        <v/>
      </c>
      <c r="I16" s="14">
        <f>假设与情景!$B$5/(资产负债表!S26/假设与情景!$B$6)</f>
        <v/>
      </c>
      <c r="J16" s="19" t="inlineStr">
        <is>
          <t>—</t>
        </is>
      </c>
    </row>
    <row r="18">
      <c r="A18" s="4" t="inlineStr">
        <is>
          <t>注: 26-30E累计简化FCF（亿）</t>
        </is>
      </c>
      <c r="B18" s="12">
        <f>SUM(现金流量表!E25:I25)</f>
        <v/>
      </c>
      <c r="C18" s="19" t="inlineStr">
        <is>
          <t>—</t>
        </is>
      </c>
      <c r="D18" s="19" t="inlineStr">
        <is>
          <t>—</t>
        </is>
      </c>
      <c r="E18" s="12">
        <f>SUM(现金流量表!J25:N25)</f>
        <v/>
      </c>
      <c r="F18" s="19" t="inlineStr">
        <is>
          <t>—</t>
        </is>
      </c>
      <c r="G18" s="19" t="inlineStr">
        <is>
          <t>—</t>
        </is>
      </c>
      <c r="H18" s="12">
        <f>SUM(现金流量表!O25:S25)</f>
        <v/>
      </c>
      <c r="I18" s="19" t="inlineStr">
        <is>
          <t>—</t>
        </is>
      </c>
      <c r="J18" s="1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>
      <c r="A1" s="1" t="inlineStr">
        <is>
          <t>模型平衡与勾稽检查</t>
        </is>
      </c>
    </row>
    <row r="2">
      <c r="A2" s="2" t="inlineStr">
        <is>
          <t>全部应为 ✓ 或 0（历史现金勾稽与RE滚动除外，见注）</t>
        </is>
      </c>
    </row>
    <row r="4">
      <c r="B4" s="7" t="inlineStr">
        <is>
          <t>2023A</t>
        </is>
      </c>
      <c r="C4" s="7" t="inlineStr">
        <is>
          <t>2024A</t>
        </is>
      </c>
      <c r="D4" s="7" t="inlineStr">
        <is>
          <t>2025A</t>
        </is>
      </c>
      <c r="E4" s="7" t="inlineStr">
        <is>
          <t>2026E</t>
        </is>
      </c>
      <c r="F4" s="7" t="inlineStr">
        <is>
          <t>2027E</t>
        </is>
      </c>
      <c r="G4" s="7" t="inlineStr">
        <is>
          <t>2028E</t>
        </is>
      </c>
      <c r="H4" s="7" t="inlineStr">
        <is>
          <t>2029E</t>
        </is>
      </c>
      <c r="I4" s="7" t="inlineStr">
        <is>
          <t>2030E</t>
        </is>
      </c>
      <c r="J4" s="7" t="inlineStr">
        <is>
          <t>2026E</t>
        </is>
      </c>
      <c r="K4" s="7" t="inlineStr">
        <is>
          <t>2027E</t>
        </is>
      </c>
      <c r="L4" s="7" t="inlineStr">
        <is>
          <t>2028E</t>
        </is>
      </c>
      <c r="M4" s="7" t="inlineStr">
        <is>
          <t>2029E</t>
        </is>
      </c>
      <c r="N4" s="7" t="inlineStr">
        <is>
          <t>2030E</t>
        </is>
      </c>
      <c r="O4" s="7" t="inlineStr">
        <is>
          <t>2026E</t>
        </is>
      </c>
      <c r="P4" s="7" t="inlineStr">
        <is>
          <t>2027E</t>
        </is>
      </c>
      <c r="Q4" s="7" t="inlineStr">
        <is>
          <t>2028E</t>
        </is>
      </c>
      <c r="R4" s="7" t="inlineStr">
        <is>
          <t>2029E</t>
        </is>
      </c>
      <c r="S4" s="7" t="inlineStr">
        <is>
          <t>2030E</t>
        </is>
      </c>
    </row>
    <row r="5">
      <c r="A5" s="4" t="inlineStr">
        <is>
          <t>资产负债表平衡（|差|&lt;0.5）</t>
        </is>
      </c>
      <c r="B5" s="12">
        <f>IF(ABS(资产负债表!B30)&lt;0.5,"✓","✗")</f>
        <v/>
      </c>
      <c r="C5" s="12">
        <f>IF(ABS(资产负债表!C30)&lt;0.5,"✓","✗")</f>
        <v/>
      </c>
      <c r="D5" s="12">
        <f>IF(ABS(资产负债表!D30)&lt;0.5,"✓","✗")</f>
        <v/>
      </c>
      <c r="E5" s="12">
        <f>IF(ABS(资产负债表!E30)&lt;0.5,"✓","✗")</f>
        <v/>
      </c>
      <c r="F5" s="12">
        <f>IF(ABS(资产负债表!F30)&lt;0.5,"✓","✗")</f>
        <v/>
      </c>
      <c r="G5" s="12">
        <f>IF(ABS(资产负债表!G30)&lt;0.5,"✓","✗")</f>
        <v/>
      </c>
      <c r="H5" s="12">
        <f>IF(ABS(资产负债表!H30)&lt;0.5,"✓","✗")</f>
        <v/>
      </c>
      <c r="I5" s="12">
        <f>IF(ABS(资产负债表!I30)&lt;0.5,"✓","✗")</f>
        <v/>
      </c>
      <c r="J5" s="12">
        <f>IF(ABS(资产负债表!J30)&lt;0.5,"✓","✗")</f>
        <v/>
      </c>
      <c r="K5" s="12">
        <f>IF(ABS(资产负债表!K30)&lt;0.5,"✓","✗")</f>
        <v/>
      </c>
      <c r="L5" s="12">
        <f>IF(ABS(资产负债表!L30)&lt;0.5,"✓","✗")</f>
        <v/>
      </c>
      <c r="M5" s="12">
        <f>IF(ABS(资产负债表!M30)&lt;0.5,"✓","✗")</f>
        <v/>
      </c>
      <c r="N5" s="12">
        <f>IF(ABS(资产负债表!N30)&lt;0.5,"✓","✗")</f>
        <v/>
      </c>
      <c r="O5" s="12">
        <f>IF(ABS(资产负债表!O30)&lt;0.5,"✓","✗")</f>
        <v/>
      </c>
      <c r="P5" s="12">
        <f>IF(ABS(资产负债表!P30)&lt;0.5,"✓","✗")</f>
        <v/>
      </c>
      <c r="Q5" s="12">
        <f>IF(ABS(资产负债表!Q30)&lt;0.5,"✓","✗")</f>
        <v/>
      </c>
      <c r="R5" s="12">
        <f>IF(ABS(资产负债表!R30)&lt;0.5,"✓","✗")</f>
        <v/>
      </c>
      <c r="S5" s="12">
        <f>IF(ABS(资产负债表!S30)&lt;0.5,"✓","✗")</f>
        <v/>
      </c>
    </row>
    <row r="6">
      <c r="A6" s="4" t="inlineStr">
        <is>
          <t>资产分项加总-报表值（历史）</t>
        </is>
      </c>
      <c r="B6" s="12">
        <f>资产负债表!B16-资产负债表!B31</f>
        <v/>
      </c>
      <c r="C6" s="12">
        <f>资产负债表!C16-资产负债表!C31</f>
        <v/>
      </c>
      <c r="D6" s="12">
        <f>资产负债表!D16-资产负债表!D31</f>
        <v/>
      </c>
      <c r="E6" s="12">
        <f>资产负债表!E16-资产负债表!E31</f>
        <v/>
      </c>
      <c r="F6" s="12">
        <f>资产负债表!F16-资产负债表!F31</f>
        <v/>
      </c>
      <c r="G6" s="12">
        <f>资产负债表!G16-资产负债表!G31</f>
        <v/>
      </c>
      <c r="H6" s="12">
        <f>资产负债表!H16-资产负债表!H31</f>
        <v/>
      </c>
      <c r="I6" s="12">
        <f>资产负债表!I16-资产负债表!I31</f>
        <v/>
      </c>
      <c r="J6" s="12">
        <f>资产负债表!J16-资产负债表!J31</f>
        <v/>
      </c>
      <c r="K6" s="12">
        <f>资产负债表!K16-资产负债表!K31</f>
        <v/>
      </c>
      <c r="L6" s="12">
        <f>资产负债表!L16-资产负债表!L31</f>
        <v/>
      </c>
      <c r="M6" s="12">
        <f>资产负债表!M16-资产负债表!M31</f>
        <v/>
      </c>
      <c r="N6" s="12">
        <f>资产负债表!N16-资产负债表!N31</f>
        <v/>
      </c>
      <c r="O6" s="12">
        <f>资产负债表!O16-资产负债表!O31</f>
        <v/>
      </c>
      <c r="P6" s="12">
        <f>资产负债表!P16-资产负债表!P31</f>
        <v/>
      </c>
      <c r="Q6" s="12">
        <f>资产负债表!Q16-资产负债表!Q31</f>
        <v/>
      </c>
      <c r="R6" s="12">
        <f>资产负债表!R16-资产负债表!R31</f>
        <v/>
      </c>
      <c r="S6" s="12">
        <f>资产负债表!S16-资产负债表!S31</f>
        <v/>
      </c>
    </row>
    <row r="7">
      <c r="A7" s="4" t="inlineStr">
        <is>
          <t>CF净利润=IS净利润</t>
        </is>
      </c>
      <c r="B7" s="12">
        <f>现金流量表!B6-利润表!B20</f>
        <v/>
      </c>
      <c r="C7" s="12">
        <f>现金流量表!C6-利润表!C20</f>
        <v/>
      </c>
      <c r="D7" s="12">
        <f>现金流量表!D6-利润表!D20</f>
        <v/>
      </c>
      <c r="E7" s="12">
        <f>现金流量表!E6-利润表!E20</f>
        <v/>
      </c>
      <c r="F7" s="12">
        <f>现金流量表!F6-利润表!F20</f>
        <v/>
      </c>
      <c r="G7" s="12">
        <f>现金流量表!G6-利润表!G20</f>
        <v/>
      </c>
      <c r="H7" s="12">
        <f>现金流量表!H6-利润表!H20</f>
        <v/>
      </c>
      <c r="I7" s="12">
        <f>现金流量表!I6-利润表!I20</f>
        <v/>
      </c>
      <c r="J7" s="12">
        <f>现金流量表!J6-利润表!J20</f>
        <v/>
      </c>
      <c r="K7" s="12">
        <f>现金流量表!K6-利润表!K20</f>
        <v/>
      </c>
      <c r="L7" s="12">
        <f>现金流量表!L6-利润表!L20</f>
        <v/>
      </c>
      <c r="M7" s="12">
        <f>现金流量表!M6-利润表!M20</f>
        <v/>
      </c>
      <c r="N7" s="12">
        <f>现金流量表!N6-利润表!N20</f>
        <v/>
      </c>
      <c r="O7" s="12">
        <f>现金流量表!O6-利润表!O20</f>
        <v/>
      </c>
      <c r="P7" s="12">
        <f>现金流量表!P6-利润表!P20</f>
        <v/>
      </c>
      <c r="Q7" s="12">
        <f>现金流量表!Q6-利润表!Q20</f>
        <v/>
      </c>
      <c r="R7" s="12">
        <f>现金流量表!R6-利润表!R20</f>
        <v/>
      </c>
      <c r="S7" s="12">
        <f>现金流量表!S6-利润表!S20</f>
        <v/>
      </c>
    </row>
    <row r="8">
      <c r="A8" s="4" t="inlineStr">
        <is>
          <t>期末现金池=BS现金类</t>
        </is>
      </c>
      <c r="B8" s="12">
        <f>现金流量表!B24-资产负债表!B6</f>
        <v/>
      </c>
      <c r="C8" s="12">
        <f>现金流量表!C24-资产负债表!C6</f>
        <v/>
      </c>
      <c r="D8" s="12">
        <f>现金流量表!D24-资产负债表!D6</f>
        <v/>
      </c>
      <c r="E8" s="12">
        <f>现金流量表!E24-资产负债表!E6</f>
        <v/>
      </c>
      <c r="F8" s="12">
        <f>现金流量表!F24-资产负债表!F6</f>
        <v/>
      </c>
      <c r="G8" s="12">
        <f>现金流量表!G24-资产负债表!G6</f>
        <v/>
      </c>
      <c r="H8" s="12">
        <f>现金流量表!H24-资产负债表!H6</f>
        <v/>
      </c>
      <c r="I8" s="12">
        <f>现金流量表!I24-资产负债表!I6</f>
        <v/>
      </c>
      <c r="J8" s="12">
        <f>现金流量表!J24-资产负债表!J6</f>
        <v/>
      </c>
      <c r="K8" s="12">
        <f>现金流量表!K24-资产负债表!K6</f>
        <v/>
      </c>
      <c r="L8" s="12">
        <f>现金流量表!L24-资产负债表!L6</f>
        <v/>
      </c>
      <c r="M8" s="12">
        <f>现金流量表!M24-资产负债表!M6</f>
        <v/>
      </c>
      <c r="N8" s="12">
        <f>现金流量表!N24-资产负债表!N6</f>
        <v/>
      </c>
      <c r="O8" s="12">
        <f>现金流量表!O24-资产负债表!O6</f>
        <v/>
      </c>
      <c r="P8" s="12">
        <f>现金流量表!P24-资产负债表!P6</f>
        <v/>
      </c>
      <c r="Q8" s="12">
        <f>现金流量表!Q24-资产负债表!Q6</f>
        <v/>
      </c>
      <c r="R8" s="12">
        <f>现金流量表!R24-资产负债表!R6</f>
        <v/>
      </c>
      <c r="S8" s="12">
        <f>现金流量表!S24-资产负债表!S6</f>
        <v/>
      </c>
    </row>
    <row r="9">
      <c r="A9" s="4" t="inlineStr">
        <is>
          <t>BS现金类-报表期末现金（口径差）</t>
        </is>
      </c>
      <c r="B9" s="12">
        <f>资产负债表!B6-现金流量表!B27</f>
        <v/>
      </c>
      <c r="C9" s="12">
        <f>资产负债表!C6-现金流量表!C27</f>
        <v/>
      </c>
      <c r="D9" s="12">
        <f>资产负债表!D6-现金流量表!D27</f>
        <v/>
      </c>
      <c r="E9" s="12">
        <f>资产负债表!E6-现金流量表!E27</f>
        <v/>
      </c>
      <c r="F9" s="12">
        <f>资产负债表!F6-现金流量表!F27</f>
        <v/>
      </c>
      <c r="G9" s="12">
        <f>资产负债表!G6-现金流量表!G27</f>
        <v/>
      </c>
      <c r="H9" s="12">
        <f>资产负债表!H6-现金流量表!H27</f>
        <v/>
      </c>
      <c r="I9" s="12">
        <f>资产负债表!I6-现金流量表!I27</f>
        <v/>
      </c>
      <c r="J9" s="12">
        <f>资产负债表!J6-现金流量表!J27</f>
        <v/>
      </c>
      <c r="K9" s="12">
        <f>资产负债表!K6-现金流量表!K27</f>
        <v/>
      </c>
      <c r="L9" s="12">
        <f>资产负债表!L6-现金流量表!L27</f>
        <v/>
      </c>
      <c r="M9" s="12">
        <f>资产负债表!M6-现金流量表!M27</f>
        <v/>
      </c>
      <c r="N9" s="12">
        <f>资产负债表!N6-现金流量表!N27</f>
        <v/>
      </c>
      <c r="O9" s="12">
        <f>资产负债表!O6-现金流量表!O27</f>
        <v/>
      </c>
      <c r="P9" s="12">
        <f>资产负债表!P6-现金流量表!P27</f>
        <v/>
      </c>
      <c r="Q9" s="12">
        <f>资产负债表!Q6-现金流量表!Q27</f>
        <v/>
      </c>
      <c r="R9" s="12">
        <f>资产负债表!R6-现金流量表!R27</f>
        <v/>
      </c>
      <c r="S9" s="12">
        <f>资产负债表!S6-现金流量表!S27</f>
        <v/>
      </c>
    </row>
    <row r="10">
      <c r="A10" s="4" t="inlineStr">
        <is>
          <t>存货增速-营收增速（pct）</t>
        </is>
      </c>
      <c r="B10" s="19" t="inlineStr">
        <is>
          <t>—</t>
        </is>
      </c>
      <c r="C10" s="14">
        <f>(资产负债表!C8/资产负债表!B8-1)-(利润表!C6/利润表!B6-1)</f>
        <v/>
      </c>
      <c r="D10" s="14">
        <f>(资产负债表!D8/资产负债表!C8-1)-(利润表!D6/利润表!C6-1)</f>
        <v/>
      </c>
      <c r="E10" s="14">
        <f>(资产负债表!E8/资产负债表!D8-1)-(利润表!E6/利润表!D6-1)</f>
        <v/>
      </c>
      <c r="F10" s="14">
        <f>(资产负债表!F8/资产负债表!E8-1)-(利润表!F6/利润表!E6-1)</f>
        <v/>
      </c>
      <c r="G10" s="14">
        <f>(资产负债表!G8/资产负债表!F8-1)-(利润表!G6/利润表!F6-1)</f>
        <v/>
      </c>
      <c r="H10" s="14">
        <f>(资产负债表!H8/资产负债表!G8-1)-(利润表!H6/利润表!G6-1)</f>
        <v/>
      </c>
      <c r="I10" s="14">
        <f>(资产负债表!I8/资产负债表!H8-1)-(利润表!I6/利润表!H6-1)</f>
        <v/>
      </c>
      <c r="J10" s="14">
        <f>(资产负债表!J8/资产负债表!I8-1)-(利润表!J6/利润表!I6-1)</f>
        <v/>
      </c>
      <c r="K10" s="14">
        <f>(资产负债表!K8/资产负债表!J8-1)-(利润表!K6/利润表!J6-1)</f>
        <v/>
      </c>
      <c r="L10" s="14">
        <f>(资产负债表!L8/资产负债表!K8-1)-(利润表!L6/利润表!K6-1)</f>
        <v/>
      </c>
      <c r="M10" s="14">
        <f>(资产负债表!M8/资产负债表!L8-1)-(利润表!M6/利润表!L6-1)</f>
        <v/>
      </c>
      <c r="N10" s="14">
        <f>(资产负债表!N8/资产负债表!M8-1)-(利润表!N6/利润表!M6-1)</f>
        <v/>
      </c>
      <c r="O10" s="14">
        <f>(资产负债表!O8/资产负债表!N8-1)-(利润表!O6/利润表!N6-1)</f>
        <v/>
      </c>
      <c r="P10" s="14">
        <f>(资产负债表!P8/资产负债表!O8-1)-(利润表!P6/利润表!O6-1)</f>
        <v/>
      </c>
      <c r="Q10" s="14">
        <f>(资产负债表!Q8/资产负债表!P8-1)-(利润表!Q6/利润表!P6-1)</f>
        <v/>
      </c>
      <c r="R10" s="14">
        <f>(资产负债表!R8/资产负债表!Q8-1)-(利润表!R6/利润表!Q6-1)</f>
        <v/>
      </c>
      <c r="S10" s="14">
        <f>(资产负债表!S8/资产负债表!R8-1)-(利润表!S6/利润表!R6-1)</f>
        <v/>
      </c>
    </row>
    <row r="11">
      <c r="A11" s="4" t="inlineStr">
        <is>
          <t>有效税率</t>
        </is>
      </c>
      <c r="B11" s="18">
        <f>利润表!B19/利润表!B18</f>
        <v/>
      </c>
      <c r="C11" s="18">
        <f>利润表!C19/利润表!C18</f>
        <v/>
      </c>
      <c r="D11" s="18">
        <f>利润表!D19/利润表!D18</f>
        <v/>
      </c>
      <c r="E11" s="18">
        <f>利润表!E19/利润表!E18</f>
        <v/>
      </c>
      <c r="F11" s="18">
        <f>利润表!F19/利润表!F18</f>
        <v/>
      </c>
      <c r="G11" s="18">
        <f>利润表!G19/利润表!G18</f>
        <v/>
      </c>
      <c r="H11" s="18">
        <f>利润表!H19/利润表!H18</f>
        <v/>
      </c>
      <c r="I11" s="18">
        <f>利润表!I19/利润表!I18</f>
        <v/>
      </c>
      <c r="J11" s="18">
        <f>利润表!J19/利润表!J18</f>
        <v/>
      </c>
      <c r="K11" s="18">
        <f>利润表!K19/利润表!K18</f>
        <v/>
      </c>
      <c r="L11" s="18">
        <f>利润表!L19/利润表!L18</f>
        <v/>
      </c>
      <c r="M11" s="18">
        <f>利润表!M19/利润表!M18</f>
        <v/>
      </c>
      <c r="N11" s="18">
        <f>利润表!N19/利润表!N18</f>
        <v/>
      </c>
      <c r="O11" s="18">
        <f>利润表!O19/利润表!O18</f>
        <v/>
      </c>
      <c r="P11" s="18">
        <f>利润表!P19/利润表!P18</f>
        <v/>
      </c>
      <c r="Q11" s="18">
        <f>利润表!Q19/利润表!Q18</f>
        <v/>
      </c>
      <c r="R11" s="18">
        <f>利润表!R19/利润表!R18</f>
        <v/>
      </c>
      <c r="S11" s="18">
        <f>利润表!S19/利润表!S18</f>
        <v/>
      </c>
    </row>
    <row r="12">
      <c r="A12" s="4" t="inlineStr">
        <is>
          <t>分红回购覆盖倍数</t>
        </is>
      </c>
      <c r="B12" s="14">
        <f>现金流量表!B26</f>
        <v/>
      </c>
      <c r="C12" s="14">
        <f>现金流量表!C26</f>
        <v/>
      </c>
      <c r="D12" s="14">
        <f>现金流量表!D26</f>
        <v/>
      </c>
      <c r="E12" s="14">
        <f>现金流量表!E26</f>
        <v/>
      </c>
      <c r="F12" s="14">
        <f>现金流量表!F26</f>
        <v/>
      </c>
      <c r="G12" s="14">
        <f>现金流量表!G26</f>
        <v/>
      </c>
      <c r="H12" s="14">
        <f>现金流量表!H26</f>
        <v/>
      </c>
      <c r="I12" s="14">
        <f>现金流量表!I26</f>
        <v/>
      </c>
      <c r="J12" s="14">
        <f>现金流量表!J26</f>
        <v/>
      </c>
      <c r="K12" s="14">
        <f>现金流量表!K26</f>
        <v/>
      </c>
      <c r="L12" s="14">
        <f>现金流量表!L26</f>
        <v/>
      </c>
      <c r="M12" s="14">
        <f>现金流量表!M26</f>
        <v/>
      </c>
      <c r="N12" s="14">
        <f>现金流量表!N26</f>
        <v/>
      </c>
      <c r="O12" s="14">
        <f>现金流量表!O26</f>
        <v/>
      </c>
      <c r="P12" s="14">
        <f>现金流量表!P26</f>
        <v/>
      </c>
      <c r="Q12" s="14">
        <f>现金流量表!Q26</f>
        <v/>
      </c>
      <c r="R12" s="14">
        <f>现金流量表!R26</f>
        <v/>
      </c>
      <c r="S12" s="14">
        <f>现金流量表!S26</f>
        <v/>
      </c>
    </row>
    <row r="14">
      <c r="A14" s="2" t="inlineStr">
        <is>
          <t>注1: 行9 现金类-报表期末现金 为已知口径差异（含存放央行款项、受限资金等），历史约200-400亿属正常。</t>
        </is>
      </c>
    </row>
    <row r="15">
      <c r="A15" s="2" t="inlineStr">
        <is>
          <t>注2: 2025A 未分配利润滚动核对: 期初1827.87+归母823.20-分红672.42-其他筹资61.85-盈余提取39.07-期末1919.05=残差约20.5亿（回购注销的权益会计处理），属报表实际口径。</t>
        </is>
      </c>
    </row>
    <row r="16">
      <c r="A16" s="2" t="inlineStr">
        <is>
          <t>注3: 历史CF第11行"其他调整"为倒挤项（报表间接法分项未完整披露），预测年为0。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数据底稿（AkShare 新浪财经, sh600519, 采集2026-08-31）</t>
        </is>
      </c>
    </row>
    <row r="3">
      <c r="A3" s="7" t="inlineStr">
        <is>
          <t>科目（亿元）</t>
        </is>
      </c>
      <c r="B3" s="7" t="inlineStr">
        <is>
          <t>2021A</t>
        </is>
      </c>
      <c r="C3" s="7" t="inlineStr">
        <is>
          <t>2022A</t>
        </is>
      </c>
      <c r="D3" s="7" t="inlineStr">
        <is>
          <t>2023A</t>
        </is>
      </c>
      <c r="E3" s="7" t="inlineStr">
        <is>
          <t>2024A</t>
        </is>
      </c>
      <c r="F3" s="7" t="inlineStr">
        <is>
          <t>2025A</t>
        </is>
      </c>
      <c r="G3" s="7" t="inlineStr">
        <is>
          <t>2026H1</t>
        </is>
      </c>
    </row>
    <row r="4">
      <c r="A4" s="4" t="inlineStr">
        <is>
          <t>营业收入</t>
        </is>
      </c>
      <c r="B4" s="11" t="n">
        <v>1061.9</v>
      </c>
      <c r="C4" s="11" t="n">
        <v>1241</v>
      </c>
      <c r="D4" s="11" t="n">
        <v>1476.94</v>
      </c>
      <c r="E4" s="11" t="n">
        <v>1708.99</v>
      </c>
      <c r="F4" s="11" t="n">
        <v>1688.38</v>
      </c>
      <c r="G4" s="11" t="n">
        <v>907.03</v>
      </c>
    </row>
    <row r="5">
      <c r="A5" s="4" t="inlineStr">
        <is>
          <t>归母净利润</t>
        </is>
      </c>
      <c r="B5" s="11" t="n">
        <v>524.6</v>
      </c>
      <c r="C5" s="11" t="n">
        <v>627.17</v>
      </c>
      <c r="D5" s="11" t="n">
        <v>747.34</v>
      </c>
      <c r="E5" s="11" t="n">
        <v>862.28</v>
      </c>
      <c r="F5" s="11" t="n">
        <v>823.2</v>
      </c>
      <c r="G5" s="11" t="n">
        <v>445.17</v>
      </c>
    </row>
    <row r="6">
      <c r="A6" s="4" t="inlineStr">
        <is>
          <t>营业总收入</t>
        </is>
      </c>
      <c r="B6" s="11" t="n">
        <v>1094.64</v>
      </c>
      <c r="C6" s="11" t="n">
        <v>1275.54</v>
      </c>
      <c r="D6" s="11" t="n">
        <v>1505.6</v>
      </c>
      <c r="E6" s="11" t="n">
        <v>1741.44</v>
      </c>
      <c r="F6" s="11" t="n">
        <v>1720.54</v>
      </c>
      <c r="G6" s="11" t="n">
        <v>922.78</v>
      </c>
    </row>
    <row r="7">
      <c r="A7" s="4" t="inlineStr">
        <is>
          <t>税金及附加</t>
        </is>
      </c>
      <c r="B7" s="11" t="n">
        <v>153.04</v>
      </c>
      <c r="C7" s="11" t="n">
        <v>184.96</v>
      </c>
      <c r="D7" s="11" t="n">
        <v>222.34</v>
      </c>
      <c r="E7" s="11" t="n">
        <v>269.26</v>
      </c>
      <c r="F7" s="11" t="n">
        <v>273.54</v>
      </c>
      <c r="G7" s="11" t="n">
        <v>146.82</v>
      </c>
    </row>
    <row r="8">
      <c r="A8" s="4" t="inlineStr">
        <is>
          <t>销售费用</t>
        </is>
      </c>
      <c r="B8" s="11" t="n">
        <v>27.37</v>
      </c>
      <c r="C8" s="11" t="n">
        <v>32.98</v>
      </c>
      <c r="D8" s="11" t="n">
        <v>46.49</v>
      </c>
      <c r="E8" s="11" t="n">
        <v>56.39</v>
      </c>
      <c r="F8" s="11" t="n">
        <v>72.53</v>
      </c>
      <c r="G8" s="11" t="n">
        <v>32.06</v>
      </c>
    </row>
    <row r="9">
      <c r="A9" s="4" t="inlineStr">
        <is>
          <t>经营活动净现金流</t>
        </is>
      </c>
      <c r="B9" s="11" t="n">
        <v>640.29</v>
      </c>
      <c r="C9" s="11" t="n">
        <v>366.99</v>
      </c>
      <c r="D9" s="11" t="n">
        <v>665.9299999999999</v>
      </c>
      <c r="E9" s="11" t="n">
        <v>924.64</v>
      </c>
      <c r="F9" s="11" t="n">
        <v>615.22</v>
      </c>
      <c r="G9" s="11" t="n">
        <v>706.91</v>
      </c>
    </row>
    <row r="10">
      <c r="A10" s="4" t="inlineStr">
        <is>
          <t>CapEx</t>
        </is>
      </c>
      <c r="B10" s="11" t="n">
        <v>34.09</v>
      </c>
      <c r="C10" s="11" t="n">
        <v>53.07</v>
      </c>
      <c r="D10" s="11" t="n">
        <v>26.2</v>
      </c>
      <c r="E10" s="11" t="n">
        <v>46.79</v>
      </c>
      <c r="F10" s="11" t="n">
        <v>31.28</v>
      </c>
      <c r="G10" s="11" t="n">
        <v>8.32</v>
      </c>
    </row>
    <row r="11">
      <c r="A11" s="4" t="inlineStr">
        <is>
          <t>分红支付（年内）</t>
        </is>
      </c>
      <c r="B11" s="11" t="n">
        <v>264.76</v>
      </c>
      <c r="C11" s="11" t="n">
        <v>573.7</v>
      </c>
      <c r="D11" s="11" t="n">
        <v>587.55</v>
      </c>
      <c r="E11" s="11" t="n">
        <v>709.51</v>
      </c>
      <c r="F11" s="11" t="n">
        <v>672.42</v>
      </c>
      <c r="G11" s="11" t="n">
        <v>350.44</v>
      </c>
    </row>
    <row r="12">
      <c r="A12" s="4" t="inlineStr">
        <is>
          <t>资产总计</t>
        </is>
      </c>
      <c r="B12" s="11" t="n">
        <v>2551.68</v>
      </c>
      <c r="C12" s="11" t="n">
        <v>2545.01</v>
      </c>
      <c r="D12" s="11" t="n">
        <v>2727</v>
      </c>
      <c r="E12" s="11" t="n">
        <v>2989.45</v>
      </c>
      <c r="F12" s="11" t="n">
        <v>3038.35</v>
      </c>
      <c r="G12" s="11" t="n">
        <v>3090.51</v>
      </c>
    </row>
    <row r="13">
      <c r="A13" s="4" t="inlineStr">
        <is>
          <t>存货</t>
        </is>
      </c>
      <c r="B13" s="11" t="n">
        <v>333.94</v>
      </c>
      <c r="C13" s="11" t="n">
        <v>388.24</v>
      </c>
      <c r="D13" s="11" t="n">
        <v>464.35</v>
      </c>
      <c r="E13" s="11" t="n">
        <v>543.4299999999999</v>
      </c>
      <c r="F13" s="11" t="n">
        <v>614.27</v>
      </c>
      <c r="G13" s="11" t="n">
        <v>613.17</v>
      </c>
    </row>
    <row r="14">
      <c r="A14" s="4" t="inlineStr">
        <is>
          <t>合同负债</t>
        </is>
      </c>
      <c r="B14" s="11" t="n">
        <v>127.18</v>
      </c>
      <c r="C14" s="11" t="n">
        <v>154.72</v>
      </c>
      <c r="D14" s="11" t="n">
        <v>141.26</v>
      </c>
      <c r="E14" s="11" t="n">
        <v>95.92</v>
      </c>
      <c r="F14" s="11" t="n">
        <v>80.06999999999999</v>
      </c>
      <c r="G14" s="11" t="n">
        <v>31.78</v>
      </c>
    </row>
    <row r="15">
      <c r="A15" s="4" t="inlineStr">
        <is>
          <t>归母权益</t>
        </is>
      </c>
      <c r="B15" s="11" t="n">
        <v>1895.39</v>
      </c>
      <c r="C15" s="11" t="n">
        <v>1974.8</v>
      </c>
      <c r="D15" s="11" t="n">
        <v>2156.69</v>
      </c>
      <c r="E15" s="11" t="n">
        <v>2331.06</v>
      </c>
      <c r="F15" s="11" t="n">
        <v>2446.38</v>
      </c>
      <c r="G15" s="11" t="n">
        <v>2512.54</v>
      </c>
    </row>
    <row r="16">
      <c r="A16" s="4" t="inlineStr">
        <is>
          <t>现金类资产池</t>
        </is>
      </c>
      <c r="B16" s="11" t="n">
        <v>1870.48</v>
      </c>
      <c r="C16" s="11" t="n">
        <v>1769.51</v>
      </c>
      <c r="D16" s="11" t="n">
        <v>1834.52</v>
      </c>
      <c r="E16" s="11" t="n">
        <v>1964.3</v>
      </c>
      <c r="F16" s="11" t="n">
        <v>1911.47</v>
      </c>
      <c r="G16" s="11" t="n">
        <v>2003.29</v>
      </c>
    </row>
    <row r="20">
      <c r="A20" s="2" t="inlineStr">
        <is>
          <t>2026H1实际: 营收907.03(+1.48%)、归母净利445.17(-1.95%)、OCF 706.91(财务公司存款波动)。模型2026E营收增速: 悲观-2%/中性+2%/乐观+4%。</t>
        </is>
      </c>
    </row>
    <row r="21">
      <c r="A21" s="2" t="inlineStr">
        <is>
          <t>来源: AkShare新浪财经财报接口（元→亿元换算）、2025年报（2026-04披露）、2026中报（2026-08-15披露）、腾讯行情（2026-08-31收盘1299.52元）。</t>
        </is>
      </c>
    </row>
    <row r="22">
      <c r="A22" s="2" t="inlineStr">
        <is>
          <t>口径说明: 现金类资产池=货币资金+拆出资金+买入返售+一年内到期非流动资产+债权投资+其他债权投资（含财务公司金融资产，宽于报表"现金及现金等价物"）。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2026-08-31T17:18:53Z</dcterms:created>
  <dcterms:modified xmlns:dcterms="http://purl.org/dc/terms/" xmlns:xsi="http://www.w3.org/2001/XMLSchema-instance" xsi:type="dcterms:W3CDTF">2026-08-31T17:18:53Z</dcterms:modified>
</cp:coreProperties>
</file>